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uottawa-my.sharepoint.com/personal/kstpier4_uottawa_ca/Documents/Teaching/EVS4010 - Field course/2025/Ecology module/"/>
    </mc:Choice>
  </mc:AlternateContent>
  <xr:revisionPtr revIDLastSave="0" documentId="8_{4E2309A5-B47A-3E45-B663-2BBA3A106A42}" xr6:coauthVersionLast="47" xr6:coauthVersionMax="47" xr10:uidLastSave="{00000000-0000-0000-0000-000000000000}"/>
  <bookViews>
    <workbookView xWindow="-20" yWindow="800" windowWidth="33700" windowHeight="20360" xr2:uid="{64CBCB39-F11A-5440-8C86-2BB22E8D7977}"/>
  </bookViews>
  <sheets>
    <sheet name="BioBlitz Surveys - Wetland" sheetId="1" r:id="rId1"/>
    <sheet name="BioBlitz Surveys - Forest" sheetId="4" r:id="rId2"/>
    <sheet name="Physicochemical Data - Wetland" sheetId="2" r:id="rId3"/>
    <sheet name="Physicochemical Data - Forest" sheetId="3" r:id="rId4"/>
    <sheet name="Taxa" sheetId="5" r:id="rId5"/>
    <sheet name="Proportions" sheetId="6" r:id="rId6"/>
    <sheet name="Site coordinate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2" i="4" l="1"/>
  <c r="AC4" i="4"/>
  <c r="AC22" i="4"/>
  <c r="AC10" i="4"/>
  <c r="AC23" i="4"/>
  <c r="AC25" i="4"/>
  <c r="AC18" i="4"/>
  <c r="AC7" i="4"/>
  <c r="AC24" i="4"/>
  <c r="AC14" i="4"/>
  <c r="AC8" i="4"/>
  <c r="AC6" i="4"/>
  <c r="AC20" i="4"/>
  <c r="AC5" i="4"/>
  <c r="AC16" i="4"/>
  <c r="AC11" i="4"/>
  <c r="AC9" i="4"/>
  <c r="AC13" i="4"/>
  <c r="AC15" i="4"/>
  <c r="AC19" i="4"/>
  <c r="AC21" i="4"/>
  <c r="AC17" i="4"/>
  <c r="AC27" i="4"/>
  <c r="AC29" i="4"/>
  <c r="AC32" i="4"/>
  <c r="AC31" i="4"/>
  <c r="AC28" i="4"/>
  <c r="AC33" i="4"/>
  <c r="AC34" i="4"/>
  <c r="AC26" i="4"/>
  <c r="AC30" i="4"/>
  <c r="AC42" i="4"/>
  <c r="AC38" i="4"/>
  <c r="AC35" i="4"/>
  <c r="AC44" i="4"/>
  <c r="AC40" i="4"/>
  <c r="AC41" i="4"/>
  <c r="AC39" i="4"/>
  <c r="AC36" i="4"/>
  <c r="AC45" i="4"/>
  <c r="AC43" i="4"/>
  <c r="AC37" i="4"/>
  <c r="X12" i="4"/>
  <c r="X4" i="4"/>
  <c r="X22" i="4"/>
  <c r="X10" i="4"/>
  <c r="X23" i="4"/>
  <c r="X25" i="4"/>
  <c r="X18" i="4"/>
  <c r="X7" i="4"/>
  <c r="X24" i="4"/>
  <c r="X14" i="4"/>
  <c r="X8" i="4"/>
  <c r="X6" i="4"/>
  <c r="X20" i="4"/>
  <c r="X5" i="4"/>
  <c r="X16" i="4"/>
  <c r="X11" i="4"/>
  <c r="X9" i="4"/>
  <c r="X13" i="4"/>
  <c r="X15" i="4"/>
  <c r="X19" i="4"/>
  <c r="X21" i="4"/>
  <c r="X17" i="4"/>
  <c r="X27" i="4"/>
  <c r="X29" i="4"/>
  <c r="X32" i="4"/>
  <c r="X31" i="4"/>
  <c r="X28" i="4"/>
  <c r="X33" i="4"/>
  <c r="X34" i="4"/>
  <c r="X26" i="4"/>
  <c r="X30" i="4"/>
  <c r="X42" i="4"/>
  <c r="X38" i="4"/>
  <c r="X35" i="4"/>
  <c r="X44" i="4"/>
  <c r="X40" i="4"/>
  <c r="X41" i="4"/>
  <c r="X36" i="4"/>
  <c r="X45" i="4"/>
  <c r="X43" i="4"/>
  <c r="X37" i="4"/>
  <c r="S12" i="4"/>
  <c r="S4" i="4"/>
  <c r="S22" i="4"/>
  <c r="S10" i="4"/>
  <c r="S23" i="4"/>
  <c r="S25" i="4"/>
  <c r="S18" i="4"/>
  <c r="S7" i="4"/>
  <c r="S24" i="4"/>
  <c r="S14" i="4"/>
  <c r="S8" i="4"/>
  <c r="S6" i="4"/>
  <c r="S20" i="4"/>
  <c r="S5" i="4"/>
  <c r="S16" i="4"/>
  <c r="S11" i="4"/>
  <c r="S9" i="4"/>
  <c r="S13" i="4"/>
  <c r="S15" i="4"/>
  <c r="S19" i="4"/>
  <c r="S21" i="4"/>
  <c r="S17" i="4"/>
  <c r="S27" i="4"/>
  <c r="S29" i="4"/>
  <c r="S32" i="4"/>
  <c r="S31" i="4"/>
  <c r="S28" i="4"/>
  <c r="S33" i="4"/>
  <c r="S34" i="4"/>
  <c r="S26" i="4"/>
  <c r="S30" i="4"/>
  <c r="S42" i="4"/>
  <c r="S38" i="4"/>
  <c r="S35" i="4"/>
  <c r="S44" i="4"/>
  <c r="S40" i="4"/>
  <c r="S41" i="4"/>
  <c r="S39" i="4"/>
  <c r="S36" i="4"/>
  <c r="S45" i="4"/>
  <c r="S43" i="4"/>
  <c r="S37" i="4"/>
  <c r="N12" i="4"/>
  <c r="N4" i="4"/>
  <c r="N22" i="4"/>
  <c r="N10" i="4"/>
  <c r="N23" i="4"/>
  <c r="N25" i="4"/>
  <c r="N18" i="4"/>
  <c r="N7" i="4"/>
  <c r="N24" i="4"/>
  <c r="N14" i="4"/>
  <c r="N8" i="4"/>
  <c r="N6" i="4"/>
  <c r="N20" i="4"/>
  <c r="N5" i="4"/>
  <c r="N16" i="4"/>
  <c r="N11" i="4"/>
  <c r="N9" i="4"/>
  <c r="N13" i="4"/>
  <c r="N15" i="4"/>
  <c r="N19" i="4"/>
  <c r="N21" i="4"/>
  <c r="N17" i="4"/>
  <c r="N27" i="4"/>
  <c r="N29" i="4"/>
  <c r="N32" i="4"/>
  <c r="N31" i="4"/>
  <c r="N28" i="4"/>
  <c r="N33" i="4"/>
  <c r="N34" i="4"/>
  <c r="N26" i="4"/>
  <c r="N30" i="4"/>
  <c r="N42" i="4"/>
  <c r="N38" i="4"/>
  <c r="N35" i="4"/>
  <c r="N44" i="4"/>
  <c r="N40" i="4"/>
  <c r="N41" i="4"/>
  <c r="N39" i="4"/>
  <c r="N36" i="4"/>
  <c r="N45" i="4"/>
  <c r="N43" i="4"/>
  <c r="N37" i="4"/>
  <c r="I43" i="4"/>
  <c r="I45" i="4"/>
  <c r="I36" i="4"/>
  <c r="I39" i="4"/>
  <c r="I41" i="4"/>
  <c r="I40" i="4"/>
  <c r="I44" i="4"/>
  <c r="I35" i="4"/>
  <c r="I38" i="4"/>
  <c r="I42" i="4"/>
  <c r="I30" i="4"/>
  <c r="I26" i="4"/>
  <c r="I34" i="4"/>
  <c r="I33" i="4"/>
  <c r="I28" i="4"/>
  <c r="I31" i="4"/>
  <c r="I32" i="4"/>
  <c r="I29" i="4"/>
  <c r="I27" i="4"/>
  <c r="I17" i="4"/>
  <c r="I21" i="4"/>
  <c r="I19" i="4"/>
  <c r="I15" i="4"/>
  <c r="I13" i="4"/>
  <c r="I9" i="4"/>
  <c r="I11" i="4"/>
  <c r="I16" i="4"/>
  <c r="I5" i="4"/>
  <c r="I20" i="4"/>
  <c r="I6" i="4"/>
  <c r="I8" i="4"/>
  <c r="I14" i="4"/>
  <c r="I24" i="4"/>
  <c r="I7" i="4"/>
  <c r="I18" i="4"/>
  <c r="I25" i="4"/>
  <c r="I23" i="4"/>
  <c r="I10" i="4"/>
  <c r="I22" i="4"/>
  <c r="I4" i="4"/>
  <c r="I12" i="4"/>
  <c r="I37" i="4"/>
  <c r="AC9" i="1"/>
  <c r="AC8" i="1"/>
  <c r="AC7" i="1"/>
  <c r="AC13" i="1"/>
  <c r="AC11" i="1"/>
  <c r="AC6" i="1"/>
  <c r="AC5" i="1"/>
  <c r="AC10" i="1"/>
  <c r="AC12" i="1"/>
  <c r="AC14" i="1"/>
  <c r="AC4" i="1"/>
  <c r="AC18" i="1"/>
  <c r="AC23" i="1"/>
  <c r="AC19" i="1"/>
  <c r="AC15" i="1"/>
  <c r="AC17" i="1"/>
  <c r="AC20" i="1"/>
  <c r="AC22" i="1"/>
  <c r="AC16" i="1"/>
  <c r="AC24" i="1"/>
  <c r="AC21" i="1"/>
  <c r="AC27" i="1"/>
  <c r="AC28" i="1"/>
  <c r="AC30" i="1"/>
  <c r="AC31" i="1"/>
  <c r="AC29" i="1"/>
  <c r="AC26" i="1"/>
  <c r="AC25" i="1"/>
  <c r="X9" i="1"/>
  <c r="X8" i="1"/>
  <c r="X7" i="1"/>
  <c r="X13" i="1"/>
  <c r="X11" i="1"/>
  <c r="X6" i="1"/>
  <c r="X5" i="1"/>
  <c r="X10" i="1"/>
  <c r="X12" i="1"/>
  <c r="X14" i="1"/>
  <c r="X4" i="1"/>
  <c r="X18" i="1"/>
  <c r="X23" i="1"/>
  <c r="X19" i="1"/>
  <c r="X15" i="1"/>
  <c r="X17" i="1"/>
  <c r="X20" i="1"/>
  <c r="X22" i="1"/>
  <c r="X16" i="1"/>
  <c r="X24" i="1"/>
  <c r="X21" i="1"/>
  <c r="X28" i="1"/>
  <c r="X30" i="1"/>
  <c r="X31" i="1"/>
  <c r="X29" i="1"/>
  <c r="X26" i="1"/>
  <c r="X25" i="1"/>
  <c r="S9" i="1"/>
  <c r="S8" i="1"/>
  <c r="S7" i="1"/>
  <c r="S13" i="1"/>
  <c r="S11" i="1"/>
  <c r="S6" i="1"/>
  <c r="S5" i="1"/>
  <c r="S10" i="1"/>
  <c r="S12" i="1"/>
  <c r="S14" i="1"/>
  <c r="S4" i="1"/>
  <c r="S18" i="1"/>
  <c r="S23" i="1"/>
  <c r="S19" i="1"/>
  <c r="S15" i="1"/>
  <c r="S17" i="1"/>
  <c r="S20" i="1"/>
  <c r="S22" i="1"/>
  <c r="S16" i="1"/>
  <c r="S24" i="1"/>
  <c r="S21" i="1"/>
  <c r="S27" i="1"/>
  <c r="S28" i="1"/>
  <c r="S30" i="1"/>
  <c r="S31" i="1"/>
  <c r="S29" i="1"/>
  <c r="S26" i="1"/>
  <c r="S25" i="1"/>
  <c r="N9" i="1"/>
  <c r="N8" i="1"/>
  <c r="N7" i="1"/>
  <c r="N13" i="1"/>
  <c r="N11" i="1"/>
  <c r="N6" i="1"/>
  <c r="N5" i="1"/>
  <c r="N10" i="1"/>
  <c r="N12" i="1"/>
  <c r="N14" i="1"/>
  <c r="N4" i="1"/>
  <c r="N18" i="1"/>
  <c r="N23" i="1"/>
  <c r="N19" i="1"/>
  <c r="N15" i="1"/>
  <c r="N17" i="1"/>
  <c r="N20" i="1"/>
  <c r="N22" i="1"/>
  <c r="N16" i="1"/>
  <c r="N24" i="1"/>
  <c r="N21" i="1"/>
  <c r="N27" i="1"/>
  <c r="N28" i="1"/>
  <c r="N30" i="1"/>
  <c r="N31" i="1"/>
  <c r="N29" i="1"/>
  <c r="N26" i="1"/>
  <c r="N25" i="1"/>
  <c r="I26" i="1"/>
  <c r="I29" i="1"/>
  <c r="I31" i="1"/>
  <c r="I30" i="1"/>
  <c r="I28" i="1"/>
  <c r="I27" i="1"/>
  <c r="I21" i="1"/>
  <c r="I24" i="1"/>
  <c r="I16" i="1"/>
  <c r="I22" i="1"/>
  <c r="I20" i="1"/>
  <c r="I17" i="1"/>
  <c r="I15" i="1"/>
  <c r="I19" i="1"/>
  <c r="I23" i="1"/>
  <c r="I18" i="1"/>
  <c r="I4" i="1"/>
  <c r="I14" i="1"/>
  <c r="I12" i="1"/>
  <c r="I10" i="1"/>
  <c r="I5" i="1"/>
  <c r="I6" i="1"/>
  <c r="I11" i="1"/>
  <c r="I13" i="1"/>
  <c r="I7" i="1"/>
  <c r="I8" i="1"/>
  <c r="I9" i="1"/>
  <c r="I25" i="1"/>
  <c r="H21" i="2" l="1"/>
  <c r="I21" i="2"/>
  <c r="S9" i="2" l="1"/>
  <c r="R9" i="2"/>
  <c r="I34" i="2"/>
  <c r="H34" i="2"/>
  <c r="I9" i="2"/>
  <c r="H9" i="2"/>
  <c r="E7" i="7"/>
  <c r="D7" i="7"/>
  <c r="E6" i="7"/>
  <c r="D6" i="7"/>
  <c r="E5" i="7"/>
  <c r="D5" i="7"/>
  <c r="P47" i="6"/>
  <c r="O47" i="6"/>
  <c r="N47" i="6"/>
  <c r="M47" i="6"/>
  <c r="P46" i="6"/>
  <c r="O46" i="6"/>
  <c r="N46" i="6"/>
  <c r="M46" i="6"/>
  <c r="P45" i="6"/>
  <c r="O45" i="6"/>
  <c r="N45" i="6"/>
  <c r="M45" i="6"/>
  <c r="P44" i="6"/>
  <c r="O44" i="6"/>
  <c r="N44" i="6"/>
  <c r="M44" i="6"/>
  <c r="P43" i="6"/>
  <c r="O43" i="6"/>
  <c r="N43" i="6"/>
  <c r="M43" i="6"/>
  <c r="P42" i="6"/>
  <c r="O42" i="6"/>
  <c r="N42" i="6"/>
  <c r="M42" i="6"/>
  <c r="P41" i="6"/>
  <c r="O41" i="6"/>
  <c r="N41" i="6"/>
  <c r="M41" i="6"/>
  <c r="P40" i="6"/>
  <c r="O40" i="6"/>
  <c r="N40" i="6"/>
  <c r="M40" i="6"/>
  <c r="P39" i="6"/>
  <c r="O39" i="6"/>
  <c r="N39" i="6"/>
  <c r="M39" i="6"/>
  <c r="P38" i="6"/>
  <c r="O38" i="6"/>
  <c r="N38" i="6"/>
  <c r="M38" i="6"/>
  <c r="P37" i="6"/>
  <c r="O37" i="6"/>
  <c r="N37" i="6"/>
  <c r="M37" i="6"/>
  <c r="P36" i="6"/>
  <c r="O36" i="6"/>
  <c r="N36" i="6"/>
  <c r="M36" i="6"/>
  <c r="P35" i="6"/>
  <c r="O35" i="6"/>
  <c r="N35" i="6"/>
  <c r="M35" i="6"/>
  <c r="P34" i="6"/>
  <c r="O34" i="6"/>
  <c r="N34" i="6"/>
  <c r="M34" i="6"/>
  <c r="P33" i="6"/>
  <c r="O33" i="6"/>
  <c r="N33" i="6"/>
  <c r="M33" i="6"/>
  <c r="P32" i="6"/>
  <c r="O32" i="6"/>
  <c r="N32" i="6"/>
  <c r="M32" i="6"/>
  <c r="P31" i="6"/>
  <c r="O31" i="6"/>
  <c r="N31" i="6"/>
  <c r="M31" i="6"/>
  <c r="P30" i="6"/>
  <c r="O30" i="6"/>
  <c r="N30" i="6"/>
  <c r="M30" i="6"/>
  <c r="P29" i="6"/>
  <c r="O29" i="6"/>
  <c r="N29" i="6"/>
  <c r="M29" i="6"/>
  <c r="P28" i="6"/>
  <c r="O28" i="6"/>
  <c r="N28" i="6"/>
  <c r="M28" i="6"/>
  <c r="P27" i="6"/>
  <c r="O27" i="6"/>
  <c r="N27" i="6"/>
  <c r="M27" i="6"/>
  <c r="P26" i="6"/>
  <c r="O26" i="6"/>
  <c r="N26" i="6"/>
  <c r="M26" i="6"/>
  <c r="P25" i="6"/>
  <c r="O25" i="6"/>
  <c r="N25" i="6"/>
  <c r="M25" i="6"/>
  <c r="P24" i="6"/>
  <c r="O24" i="6"/>
  <c r="N24" i="6"/>
  <c r="M24" i="6"/>
  <c r="P23" i="6"/>
  <c r="O23" i="6"/>
  <c r="N23" i="6"/>
  <c r="M23" i="6"/>
  <c r="P22" i="6"/>
  <c r="O22" i="6"/>
  <c r="N22" i="6"/>
  <c r="M22" i="6"/>
  <c r="P21" i="6"/>
  <c r="O21" i="6"/>
  <c r="N21" i="6"/>
  <c r="M21" i="6"/>
  <c r="P20" i="6"/>
  <c r="O20" i="6"/>
  <c r="N20" i="6"/>
  <c r="M20" i="6"/>
  <c r="P19" i="6"/>
  <c r="O19" i="6"/>
  <c r="N19" i="6"/>
  <c r="M19" i="6"/>
  <c r="P18" i="6"/>
  <c r="O18" i="6"/>
  <c r="N18" i="6"/>
  <c r="M18" i="6"/>
  <c r="P17" i="6"/>
  <c r="O17" i="6"/>
  <c r="N17" i="6"/>
  <c r="M17" i="6"/>
  <c r="P16" i="6"/>
  <c r="O16" i="6"/>
  <c r="N16" i="6"/>
  <c r="M16" i="6"/>
  <c r="P15" i="6"/>
  <c r="O15" i="6"/>
  <c r="N15" i="6"/>
  <c r="M15" i="6"/>
  <c r="P14" i="6"/>
  <c r="O14" i="6"/>
  <c r="N14" i="6"/>
  <c r="M14" i="6"/>
  <c r="P13" i="6"/>
  <c r="O13" i="6"/>
  <c r="N13" i="6"/>
  <c r="M13" i="6"/>
  <c r="P12" i="6"/>
  <c r="O12" i="6"/>
  <c r="N12" i="6"/>
  <c r="M12" i="6"/>
  <c r="P11" i="6"/>
  <c r="O11" i="6"/>
  <c r="N11" i="6"/>
  <c r="M11" i="6"/>
  <c r="P10" i="6"/>
  <c r="O10" i="6"/>
  <c r="N10" i="6"/>
  <c r="M10" i="6"/>
  <c r="P9" i="6"/>
  <c r="O9" i="6"/>
  <c r="N9" i="6"/>
  <c r="M9" i="6"/>
  <c r="P8" i="6"/>
  <c r="O8" i="6"/>
  <c r="N8" i="6"/>
  <c r="M8" i="6"/>
  <c r="P7" i="6"/>
  <c r="O7" i="6"/>
  <c r="N7" i="6"/>
  <c r="M7" i="6"/>
  <c r="P6" i="6"/>
  <c r="O6" i="6"/>
  <c r="N6" i="6"/>
  <c r="M6" i="6"/>
  <c r="U47" i="6"/>
  <c r="T47" i="6"/>
  <c r="S47" i="6"/>
  <c r="R47" i="6"/>
  <c r="Q47" i="6"/>
  <c r="U46" i="6"/>
  <c r="T46" i="6"/>
  <c r="S46" i="6"/>
  <c r="R46" i="6"/>
  <c r="Q46" i="6"/>
  <c r="U45" i="6"/>
  <c r="T45" i="6"/>
  <c r="S45" i="6"/>
  <c r="R45" i="6"/>
  <c r="Q45" i="6"/>
  <c r="U44" i="6"/>
  <c r="T44" i="6"/>
  <c r="S44" i="6"/>
  <c r="R44" i="6"/>
  <c r="Q44" i="6"/>
  <c r="U43" i="6"/>
  <c r="T43" i="6"/>
  <c r="S43" i="6"/>
  <c r="R43" i="6"/>
  <c r="Q43" i="6"/>
  <c r="U42" i="6"/>
  <c r="T42" i="6"/>
  <c r="S42" i="6"/>
  <c r="R42" i="6"/>
  <c r="Q42" i="6"/>
  <c r="U41" i="6"/>
  <c r="T41" i="6"/>
  <c r="S41" i="6"/>
  <c r="R41" i="6"/>
  <c r="Q41" i="6"/>
  <c r="U40" i="6"/>
  <c r="T40" i="6"/>
  <c r="S40" i="6"/>
  <c r="R40" i="6"/>
  <c r="Q40" i="6"/>
  <c r="U39" i="6"/>
  <c r="T39" i="6"/>
  <c r="S39" i="6"/>
  <c r="R39" i="6"/>
  <c r="Q39" i="6"/>
  <c r="U38" i="6"/>
  <c r="T38" i="6"/>
  <c r="S38" i="6"/>
  <c r="R38" i="6"/>
  <c r="Q38" i="6"/>
  <c r="U37" i="6"/>
  <c r="T37" i="6"/>
  <c r="S37" i="6"/>
  <c r="R37" i="6"/>
  <c r="Q37" i="6"/>
  <c r="U36" i="6"/>
  <c r="T36" i="6"/>
  <c r="S36" i="6"/>
  <c r="R36" i="6"/>
  <c r="Q36" i="6"/>
  <c r="U35" i="6"/>
  <c r="T35" i="6"/>
  <c r="S35" i="6"/>
  <c r="R35" i="6"/>
  <c r="Q35" i="6"/>
  <c r="U34" i="6"/>
  <c r="T34" i="6"/>
  <c r="S34" i="6"/>
  <c r="R34" i="6"/>
  <c r="Q34" i="6"/>
  <c r="U33" i="6"/>
  <c r="T33" i="6"/>
  <c r="S33" i="6"/>
  <c r="R33" i="6"/>
  <c r="Q33" i="6"/>
  <c r="U32" i="6"/>
  <c r="T32" i="6"/>
  <c r="S32" i="6"/>
  <c r="R32" i="6"/>
  <c r="Q32" i="6"/>
  <c r="U31" i="6"/>
  <c r="T31" i="6"/>
  <c r="S31" i="6"/>
  <c r="R31" i="6"/>
  <c r="Q31" i="6"/>
  <c r="U30" i="6"/>
  <c r="T30" i="6"/>
  <c r="S30" i="6"/>
  <c r="R30" i="6"/>
  <c r="Q30" i="6"/>
  <c r="U29" i="6"/>
  <c r="T29" i="6"/>
  <c r="S29" i="6"/>
  <c r="R29" i="6"/>
  <c r="Q29" i="6"/>
  <c r="U28" i="6"/>
  <c r="T28" i="6"/>
  <c r="S28" i="6"/>
  <c r="R28" i="6"/>
  <c r="Q28" i="6"/>
  <c r="U27" i="6"/>
  <c r="T27" i="6"/>
  <c r="S27" i="6"/>
  <c r="R27" i="6"/>
  <c r="Q27" i="6"/>
  <c r="U26" i="6"/>
  <c r="T26" i="6"/>
  <c r="S26" i="6"/>
  <c r="R26" i="6"/>
  <c r="Q26" i="6"/>
  <c r="U25" i="6"/>
  <c r="T25" i="6"/>
  <c r="S25" i="6"/>
  <c r="R25" i="6"/>
  <c r="Q25" i="6"/>
  <c r="U24" i="6"/>
  <c r="T24" i="6"/>
  <c r="S24" i="6"/>
  <c r="R24" i="6"/>
  <c r="Q24" i="6"/>
  <c r="U23" i="6"/>
  <c r="T23" i="6"/>
  <c r="S23" i="6"/>
  <c r="R23" i="6"/>
  <c r="Q23" i="6"/>
  <c r="U22" i="6"/>
  <c r="T22" i="6"/>
  <c r="S22" i="6"/>
  <c r="R22" i="6"/>
  <c r="Q22" i="6"/>
  <c r="U21" i="6"/>
  <c r="T21" i="6"/>
  <c r="S21" i="6"/>
  <c r="R21" i="6"/>
  <c r="Q21" i="6"/>
  <c r="U20" i="6"/>
  <c r="T20" i="6"/>
  <c r="S20" i="6"/>
  <c r="R20" i="6"/>
  <c r="Q20" i="6"/>
  <c r="U19" i="6"/>
  <c r="T19" i="6"/>
  <c r="S19" i="6"/>
  <c r="R19" i="6"/>
  <c r="Q19" i="6"/>
  <c r="U18" i="6"/>
  <c r="T18" i="6"/>
  <c r="S18" i="6"/>
  <c r="R18" i="6"/>
  <c r="Q18" i="6"/>
  <c r="U17" i="6"/>
  <c r="T17" i="6"/>
  <c r="S17" i="6"/>
  <c r="R17" i="6"/>
  <c r="Q17" i="6"/>
  <c r="U16" i="6"/>
  <c r="T16" i="6"/>
  <c r="S16" i="6"/>
  <c r="R16" i="6"/>
  <c r="Q16" i="6"/>
  <c r="U15" i="6"/>
  <c r="T15" i="6"/>
  <c r="S15" i="6"/>
  <c r="R15" i="6"/>
  <c r="Q15" i="6"/>
  <c r="U14" i="6"/>
  <c r="T14" i="6"/>
  <c r="S14" i="6"/>
  <c r="R14" i="6"/>
  <c r="Q14" i="6"/>
  <c r="U13" i="6"/>
  <c r="T13" i="6"/>
  <c r="S13" i="6"/>
  <c r="R13" i="6"/>
  <c r="Q13" i="6"/>
  <c r="U12" i="6"/>
  <c r="T12" i="6"/>
  <c r="S12" i="6"/>
  <c r="R12" i="6"/>
  <c r="Q12" i="6"/>
  <c r="U11" i="6"/>
  <c r="T11" i="6"/>
  <c r="S11" i="6"/>
  <c r="R11" i="6"/>
  <c r="Q11" i="6"/>
  <c r="U10" i="6"/>
  <c r="T10" i="6"/>
  <c r="S10" i="6"/>
  <c r="R10" i="6"/>
  <c r="Q10" i="6"/>
  <c r="U9" i="6"/>
  <c r="T9" i="6"/>
  <c r="S9" i="6"/>
  <c r="R9" i="6"/>
  <c r="Q9" i="6"/>
  <c r="U8" i="6"/>
  <c r="T8" i="6"/>
  <c r="S8" i="6"/>
  <c r="R8" i="6"/>
  <c r="Q8" i="6"/>
  <c r="U7" i="6"/>
  <c r="T7" i="6"/>
  <c r="S7" i="6"/>
  <c r="R7" i="6"/>
  <c r="Q7" i="6"/>
  <c r="U6" i="6"/>
  <c r="T6" i="6"/>
  <c r="S6" i="6"/>
  <c r="R6" i="6"/>
  <c r="Q6" i="6"/>
  <c r="AC3" i="4"/>
  <c r="X3" i="4"/>
  <c r="S3" i="4"/>
  <c r="N3" i="4"/>
  <c r="I3" i="4"/>
  <c r="E33" i="6"/>
  <c r="D33" i="6"/>
  <c r="C33" i="6"/>
  <c r="B33" i="6"/>
  <c r="A33" i="6"/>
  <c r="F32" i="6"/>
  <c r="E32" i="6"/>
  <c r="D32" i="6"/>
  <c r="C32" i="6"/>
  <c r="B32" i="6"/>
  <c r="A32" i="6"/>
  <c r="G31" i="6"/>
  <c r="D31" i="6"/>
  <c r="C31" i="6"/>
  <c r="B31" i="6"/>
  <c r="A31" i="6"/>
  <c r="H30" i="6"/>
  <c r="G30" i="6"/>
  <c r="D30" i="6"/>
  <c r="C30" i="6"/>
  <c r="B30" i="6"/>
  <c r="A30" i="6"/>
  <c r="I29" i="6"/>
  <c r="H29" i="6"/>
  <c r="E29" i="6"/>
  <c r="D29" i="6"/>
  <c r="C29" i="6"/>
  <c r="B29" i="6"/>
  <c r="A29" i="6"/>
  <c r="I28" i="6"/>
  <c r="F28" i="6"/>
  <c r="D28" i="6"/>
  <c r="C28" i="6"/>
  <c r="B28" i="6"/>
  <c r="A28" i="6"/>
  <c r="G27" i="6"/>
  <c r="D27" i="6"/>
  <c r="C27" i="6"/>
  <c r="B27" i="6"/>
  <c r="A27" i="6"/>
  <c r="H26" i="6"/>
  <c r="D26" i="6"/>
  <c r="C26" i="6"/>
  <c r="B26" i="6"/>
  <c r="A26" i="6"/>
  <c r="E25" i="6"/>
  <c r="D25" i="6"/>
  <c r="C25" i="6"/>
  <c r="B25" i="6"/>
  <c r="A25" i="6"/>
  <c r="F24" i="6"/>
  <c r="D24" i="6"/>
  <c r="C24" i="6"/>
  <c r="B24" i="6"/>
  <c r="A24" i="6"/>
  <c r="G23" i="6"/>
  <c r="D23" i="6"/>
  <c r="C23" i="6"/>
  <c r="B23" i="6"/>
  <c r="A23" i="6"/>
  <c r="H22" i="6"/>
  <c r="E22" i="6"/>
  <c r="D22" i="6"/>
  <c r="C22" i="6"/>
  <c r="B22" i="6"/>
  <c r="A22" i="6"/>
  <c r="I21" i="6"/>
  <c r="F21" i="6"/>
  <c r="D21" i="6"/>
  <c r="C21" i="6"/>
  <c r="B21" i="6"/>
  <c r="A21" i="6"/>
  <c r="G20" i="6"/>
  <c r="F20" i="6"/>
  <c r="D20" i="6"/>
  <c r="C20" i="6"/>
  <c r="B20" i="6"/>
  <c r="A20" i="6"/>
  <c r="G19" i="6"/>
  <c r="D19" i="6"/>
  <c r="C19" i="6"/>
  <c r="B19" i="6"/>
  <c r="A19" i="6"/>
  <c r="H18" i="6"/>
  <c r="D18" i="6"/>
  <c r="C18" i="6"/>
  <c r="B18" i="6"/>
  <c r="A18" i="6"/>
  <c r="I17" i="6"/>
  <c r="E17" i="6"/>
  <c r="D17" i="6"/>
  <c r="C17" i="6"/>
  <c r="B17" i="6"/>
  <c r="A17" i="6"/>
  <c r="F16" i="6"/>
  <c r="E16" i="6"/>
  <c r="D16" i="6"/>
  <c r="C16" i="6"/>
  <c r="B16" i="6"/>
  <c r="A16" i="6"/>
  <c r="G15" i="6"/>
  <c r="D15" i="6"/>
  <c r="C15" i="6"/>
  <c r="B15" i="6"/>
  <c r="A15" i="6"/>
  <c r="G14" i="6"/>
  <c r="D14" i="6"/>
  <c r="C14" i="6"/>
  <c r="B14" i="6"/>
  <c r="A14" i="6"/>
  <c r="I13" i="6"/>
  <c r="E13" i="6"/>
  <c r="D13" i="6"/>
  <c r="C13" i="6"/>
  <c r="B13" i="6"/>
  <c r="A13" i="6"/>
  <c r="I12" i="6"/>
  <c r="F12" i="6"/>
  <c r="D12" i="6"/>
  <c r="C12" i="6"/>
  <c r="B12" i="6"/>
  <c r="A12" i="6"/>
  <c r="H11" i="6"/>
  <c r="G11" i="6"/>
  <c r="D11" i="6"/>
  <c r="C11" i="6"/>
  <c r="B11" i="6"/>
  <c r="A11" i="6"/>
  <c r="H10" i="6"/>
  <c r="E10" i="6"/>
  <c r="D10" i="6"/>
  <c r="C10" i="6"/>
  <c r="B10" i="6"/>
  <c r="A10" i="6"/>
  <c r="E9" i="6"/>
  <c r="D9" i="6"/>
  <c r="C9" i="6"/>
  <c r="B9" i="6"/>
  <c r="A9" i="6"/>
  <c r="D8" i="6"/>
  <c r="C8" i="6"/>
  <c r="B8" i="6"/>
  <c r="A8" i="6"/>
  <c r="H7" i="6"/>
  <c r="G7" i="6"/>
  <c r="D7" i="6"/>
  <c r="C7" i="6"/>
  <c r="B7" i="6"/>
  <c r="A7" i="6"/>
  <c r="D6" i="6"/>
  <c r="C6" i="6"/>
  <c r="B6" i="6"/>
  <c r="A6" i="6"/>
  <c r="I33" i="6"/>
  <c r="H33" i="6"/>
  <c r="G33" i="6"/>
  <c r="F33" i="6"/>
  <c r="I32" i="6"/>
  <c r="H32" i="6"/>
  <c r="G32" i="6"/>
  <c r="I31" i="6"/>
  <c r="H31" i="6"/>
  <c r="F31" i="6"/>
  <c r="E31" i="6"/>
  <c r="I30" i="6"/>
  <c r="F30" i="6"/>
  <c r="E30" i="6"/>
  <c r="G29" i="6"/>
  <c r="F29" i="6"/>
  <c r="H28" i="6"/>
  <c r="G28" i="6"/>
  <c r="E28" i="6"/>
  <c r="I27" i="6"/>
  <c r="H27" i="6"/>
  <c r="F27" i="6"/>
  <c r="E27" i="6"/>
  <c r="I26" i="6"/>
  <c r="G26" i="6"/>
  <c r="F26" i="6"/>
  <c r="E26" i="6"/>
  <c r="I25" i="6"/>
  <c r="H25" i="6"/>
  <c r="G25" i="6"/>
  <c r="F25" i="6"/>
  <c r="I24" i="6"/>
  <c r="H24" i="6"/>
  <c r="G24" i="6"/>
  <c r="E24" i="6"/>
  <c r="I23" i="6"/>
  <c r="H23" i="6"/>
  <c r="F23" i="6"/>
  <c r="E23" i="6"/>
  <c r="I22" i="6"/>
  <c r="G22" i="6"/>
  <c r="F22" i="6"/>
  <c r="H21" i="6"/>
  <c r="G21" i="6"/>
  <c r="E21" i="6"/>
  <c r="I20" i="6"/>
  <c r="H20" i="6"/>
  <c r="E20" i="6"/>
  <c r="I19" i="6"/>
  <c r="H19" i="6"/>
  <c r="F19" i="6"/>
  <c r="E19" i="6"/>
  <c r="I18" i="6"/>
  <c r="G18" i="6"/>
  <c r="F18" i="6"/>
  <c r="E18" i="6"/>
  <c r="H17" i="6"/>
  <c r="G17" i="6"/>
  <c r="F17" i="6"/>
  <c r="I16" i="6"/>
  <c r="H16" i="6"/>
  <c r="G16" i="6"/>
  <c r="I15" i="6"/>
  <c r="H15" i="6"/>
  <c r="F15" i="6"/>
  <c r="E15" i="6"/>
  <c r="I14" i="6"/>
  <c r="H14" i="6"/>
  <c r="F14" i="6"/>
  <c r="E14" i="6"/>
  <c r="H13" i="6"/>
  <c r="G13" i="6"/>
  <c r="F13" i="6"/>
  <c r="H12" i="6"/>
  <c r="G12" i="6"/>
  <c r="E12" i="6"/>
  <c r="I11" i="6"/>
  <c r="F11" i="6"/>
  <c r="E11" i="6"/>
  <c r="I10" i="6"/>
  <c r="G10" i="6"/>
  <c r="F10" i="6"/>
  <c r="I9" i="6"/>
  <c r="H9" i="6"/>
  <c r="G9" i="6"/>
  <c r="F9" i="6"/>
  <c r="I8" i="6"/>
  <c r="H8" i="6"/>
  <c r="G8" i="6"/>
  <c r="F8" i="6"/>
  <c r="E8" i="6"/>
  <c r="I7" i="6"/>
  <c r="F7" i="6"/>
  <c r="E7" i="6"/>
  <c r="I6" i="6"/>
  <c r="H6" i="6"/>
  <c r="G6" i="6"/>
  <c r="F6" i="6"/>
  <c r="E6" i="6"/>
  <c r="AC3" i="1"/>
  <c r="X3" i="1"/>
  <c r="S3" i="1"/>
  <c r="N3" i="1"/>
  <c r="I3" i="1"/>
  <c r="AC34" i="2"/>
  <c r="AB34" i="2"/>
  <c r="N34" i="2"/>
  <c r="M34" i="2"/>
  <c r="AC21" i="2"/>
  <c r="AB21" i="2"/>
  <c r="N21" i="2"/>
  <c r="M21" i="2"/>
  <c r="AH9" i="2"/>
  <c r="AG9" i="2"/>
  <c r="AC9" i="2"/>
  <c r="AB9" i="2"/>
  <c r="N9" i="2"/>
  <c r="M9" i="2"/>
  <c r="V12" i="6" l="1"/>
  <c r="V29" i="6"/>
  <c r="V34" i="6"/>
  <c r="V42" i="6"/>
  <c r="V37" i="6"/>
  <c r="V28" i="6"/>
  <c r="V21" i="6"/>
  <c r="V20" i="6"/>
  <c r="J16" i="6"/>
  <c r="J18" i="6"/>
  <c r="J8" i="6"/>
  <c r="J11" i="6"/>
  <c r="J21" i="6"/>
  <c r="J27" i="6"/>
  <c r="J19" i="6"/>
  <c r="J6" i="6"/>
  <c r="J12" i="6"/>
  <c r="J14" i="6"/>
  <c r="J28" i="6"/>
  <c r="J30" i="6"/>
  <c r="J20" i="6"/>
  <c r="J13" i="6"/>
  <c r="V10" i="6"/>
  <c r="V18" i="6"/>
  <c r="V26" i="6"/>
  <c r="J17" i="6"/>
  <c r="V11" i="6"/>
  <c r="V19" i="6"/>
  <c r="J29" i="6"/>
  <c r="J10" i="6"/>
  <c r="V36" i="6"/>
  <c r="J22" i="6"/>
  <c r="J9" i="6"/>
  <c r="V9" i="6"/>
  <c r="V17" i="6"/>
  <c r="V25" i="6"/>
  <c r="V33" i="6"/>
  <c r="V41" i="6"/>
  <c r="J7" i="6"/>
  <c r="J25" i="6"/>
  <c r="J15" i="6"/>
  <c r="J23" i="6"/>
  <c r="J31" i="6"/>
  <c r="J33" i="6"/>
  <c r="J24" i="6"/>
  <c r="J26" i="6"/>
  <c r="J32" i="6"/>
  <c r="V27" i="6"/>
  <c r="V35" i="6"/>
  <c r="V43" i="6"/>
  <c r="V44" i="6"/>
  <c r="V6" i="6"/>
  <c r="V14" i="6"/>
  <c r="V22" i="6"/>
  <c r="V30" i="6"/>
  <c r="V38" i="6"/>
  <c r="V46" i="6"/>
  <c r="V7" i="6"/>
  <c r="V15" i="6"/>
  <c r="V23" i="6"/>
  <c r="V31" i="6"/>
  <c r="V8" i="6"/>
  <c r="V16" i="6"/>
  <c r="V32" i="6"/>
  <c r="V40" i="6"/>
  <c r="V39" i="6"/>
  <c r="V47" i="6"/>
</calcChain>
</file>

<file path=xl/sharedStrings.xml><?xml version="1.0" encoding="utf-8"?>
<sst xmlns="http://schemas.openxmlformats.org/spreadsheetml/2006/main" count="1162" uniqueCount="309">
  <si>
    <t>Identification Information | Informations d'identification</t>
  </si>
  <si>
    <t>Prevalence Across Sites | Prévalence parmi les sites</t>
  </si>
  <si>
    <t>Plot 1</t>
  </si>
  <si>
    <t>Plot 2</t>
  </si>
  <si>
    <t xml:space="preserve">Plot 3  </t>
  </si>
  <si>
    <t xml:space="preserve">Plot 4  </t>
  </si>
  <si>
    <t xml:space="preserve">Plot 5  </t>
  </si>
  <si>
    <t xml:space="preserve">Obs. no. </t>
  </si>
  <si>
    <t>Latin name | Nom latin</t>
  </si>
  <si>
    <t>Common name | Nom commun</t>
  </si>
  <si>
    <r>
      <t>Taxon type | Type de taxon</t>
    </r>
    <r>
      <rPr>
        <i/>
        <sz val="12"/>
        <color theme="1"/>
        <rFont val="Aptos Narrow"/>
        <scheme val="minor"/>
      </rPr>
      <t xml:space="preserve"> [Dropdown menu]</t>
    </r>
  </si>
  <si>
    <t>Group Colour | Couleur de groupe</t>
  </si>
  <si>
    <t>Do you see this organism yet on the list?  | Est-ce que vous voyez déjà cet organisme sur la liste? (Yes or No)</t>
  </si>
  <si>
    <t>Plot 1 Presence</t>
  </si>
  <si>
    <t>Plot 1 Cover</t>
  </si>
  <si>
    <t>DO NOT CHANGE Cover proportion</t>
  </si>
  <si>
    <t>Other remarks</t>
  </si>
  <si>
    <t>Height (cm)</t>
  </si>
  <si>
    <t>Plot 2 Presence</t>
  </si>
  <si>
    <t>Plot 2 Cover</t>
  </si>
  <si>
    <t>Plot 3 Presence</t>
  </si>
  <si>
    <t>Plot 3 Cover</t>
  </si>
  <si>
    <t>Plot 4 Presence</t>
  </si>
  <si>
    <t>Plot 4 Cover</t>
  </si>
  <si>
    <t>Plot 5 Presence</t>
  </si>
  <si>
    <t>Plot 5 Cover</t>
  </si>
  <si>
    <t>EXAMPLE</t>
  </si>
  <si>
    <t>Larix laricina</t>
  </si>
  <si>
    <t>Tamarack</t>
  </si>
  <si>
    <t>Evergreen tree | Arbre sempervirent</t>
  </si>
  <si>
    <t>Purple</t>
  </si>
  <si>
    <t>Yes</t>
  </si>
  <si>
    <t>No</t>
  </si>
  <si>
    <t>Chamaedaphne calyculata</t>
  </si>
  <si>
    <t>Leatherleaf</t>
  </si>
  <si>
    <t>Yellow</t>
  </si>
  <si>
    <t>Larch</t>
  </si>
  <si>
    <t>Deciduous tree | Arbre décidu</t>
  </si>
  <si>
    <t>SP</t>
  </si>
  <si>
    <t>1 DD, 1 SP</t>
  </si>
  <si>
    <t>FR, SP</t>
  </si>
  <si>
    <t>Rhododendron neoglandulosum</t>
  </si>
  <si>
    <t>Labrador Tea</t>
  </si>
  <si>
    <t>Shrub | Arbuste</t>
  </si>
  <si>
    <t xml:space="preserve">Yellow </t>
  </si>
  <si>
    <t>GE</t>
  </si>
  <si>
    <t>10 to 50</t>
  </si>
  <si>
    <t>Vaccinium Cyanococcus</t>
  </si>
  <si>
    <t>Blueberry</t>
  </si>
  <si>
    <t>Sphagnum</t>
  </si>
  <si>
    <t>Common peat moss</t>
  </si>
  <si>
    <t>Moss | Mousse</t>
  </si>
  <si>
    <t>yes</t>
  </si>
  <si>
    <t>Eriophorum angostifolium</t>
  </si>
  <si>
    <t>Cotton Grass</t>
  </si>
  <si>
    <t>Grass or Sedge | Graminée</t>
  </si>
  <si>
    <t>B</t>
  </si>
  <si>
    <t>Aronia melanocarpa</t>
  </si>
  <si>
    <t>Black chockeberry</t>
  </si>
  <si>
    <t>Small dense clumps</t>
  </si>
  <si>
    <t>Frangula alnus</t>
  </si>
  <si>
    <t>False Buckthorn</t>
  </si>
  <si>
    <t>Large group of many plants</t>
  </si>
  <si>
    <t>50 to 200</t>
  </si>
  <si>
    <t>Solidago</t>
  </si>
  <si>
    <t>Goldenrod</t>
  </si>
  <si>
    <t>Tiarella cordifolia</t>
  </si>
  <si>
    <t>Foam flower</t>
  </si>
  <si>
    <t>Extensive mat</t>
  </si>
  <si>
    <t>around 5 to 10</t>
  </si>
  <si>
    <t>Alnus incana</t>
  </si>
  <si>
    <t>Gray alder</t>
  </si>
  <si>
    <t xml:space="preserve">Growing singly, 3cm width </t>
  </si>
  <si>
    <t>Around 200 cm</t>
  </si>
  <si>
    <t>Maianthemum racemosum</t>
  </si>
  <si>
    <t>Soloman's plume</t>
  </si>
  <si>
    <t>Growing singly, fruiting</t>
  </si>
  <si>
    <t>Between 10 and 50 cm</t>
  </si>
  <si>
    <t>Potentilla</t>
  </si>
  <si>
    <t>Cinquefoils</t>
  </si>
  <si>
    <t>around 10 cm</t>
  </si>
  <si>
    <t>Onoclea sensibilis</t>
  </si>
  <si>
    <t>Sensitive fern</t>
  </si>
  <si>
    <t>Fern | Fougère</t>
  </si>
  <si>
    <t>Symphyotritum ericoides</t>
  </si>
  <si>
    <t>White aster</t>
  </si>
  <si>
    <t>Growing singly, sprouting</t>
  </si>
  <si>
    <t>Around 10 cm</t>
  </si>
  <si>
    <t>Ageratina aromatica</t>
  </si>
  <si>
    <t>White snakeroot</t>
  </si>
  <si>
    <t xml:space="preserve">between 50 and 200 </t>
  </si>
  <si>
    <t>Hygroamblystegium varium</t>
  </si>
  <si>
    <t>Tangled thread moss</t>
  </si>
  <si>
    <t>small dense clump</t>
  </si>
  <si>
    <t>Rubus occidentalis</t>
  </si>
  <si>
    <t>Black raspberry</t>
  </si>
  <si>
    <t xml:space="preserve">INPUT YOUR WATER SAMPLING (DAY 2) DATA HERE. EACH GROUP SHOULD HAVE MEASUREMENTS FOR ALL OF THE PARAMETERS. </t>
  </si>
  <si>
    <t xml:space="preserve">Wetland Site A: </t>
  </si>
  <si>
    <t>Latitude:</t>
  </si>
  <si>
    <t xml:space="preserve">Longitude: </t>
  </si>
  <si>
    <t>Temperature (deg C)</t>
  </si>
  <si>
    <t>pH</t>
  </si>
  <si>
    <t>Conductivity (us/cm)</t>
  </si>
  <si>
    <t>Total dissolved substances (ppm)</t>
  </si>
  <si>
    <t>Dissolved Oxygen (Oxygène) (%sat)</t>
  </si>
  <si>
    <t>Alkalinity | Alkalinité (mg CaCO3/L)</t>
  </si>
  <si>
    <t>NO3-</t>
  </si>
  <si>
    <t>SO42-</t>
  </si>
  <si>
    <t>Fe(II)</t>
  </si>
  <si>
    <t>Fe total</t>
  </si>
  <si>
    <t xml:space="preserve">DOC </t>
  </si>
  <si>
    <t>Chlorophyll a</t>
  </si>
  <si>
    <t>Time</t>
  </si>
  <si>
    <t>Water depth (cm)</t>
  </si>
  <si>
    <t xml:space="preserve">Soil type </t>
  </si>
  <si>
    <t>Level of decomposition</t>
  </si>
  <si>
    <t>Rep 1</t>
  </si>
  <si>
    <t>Rep 2</t>
  </si>
  <si>
    <t>Rep 3</t>
  </si>
  <si>
    <t>Mean</t>
  </si>
  <si>
    <t>SD</t>
  </si>
  <si>
    <t>Mean | Moyenne</t>
  </si>
  <si>
    <t>Sd</t>
  </si>
  <si>
    <t>mg/L</t>
  </si>
  <si>
    <t>abs</t>
  </si>
  <si>
    <t>RFU</t>
  </si>
  <si>
    <t>Mucky peat</t>
  </si>
  <si>
    <t>H5</t>
  </si>
  <si>
    <t xml:space="preserve">Wetland Site B: </t>
  </si>
  <si>
    <t>Pink</t>
  </si>
  <si>
    <t>Dissolved Oxygen (Oxygène) (mg/L)</t>
  </si>
  <si>
    <t xml:space="preserve">Wetland Site C: </t>
  </si>
  <si>
    <t>damp muck</t>
  </si>
  <si>
    <t xml:space="preserve">Site ID </t>
  </si>
  <si>
    <t>Latitude</t>
  </si>
  <si>
    <t>Longitude</t>
  </si>
  <si>
    <t>Soil type | Type de sol</t>
  </si>
  <si>
    <t>Average Canopy Cover at Site | Couverture moyenne au site</t>
  </si>
  <si>
    <t>Other notes | Autres notes</t>
  </si>
  <si>
    <t>Sandy clay loam</t>
  </si>
  <si>
    <t xml:space="preserve">Top layer is darker, bottom layer, starting at 13.2cm depth is lighter in colour. Bottom layer is more dense and stiff. The soil is weell drained. </t>
  </si>
  <si>
    <t>DO NOT ADD DATA HERE. | S.V.P. NE PAS AJOUTER VOS DONNÉES ICI</t>
  </si>
  <si>
    <t>Taxon type | Type de taxon</t>
  </si>
  <si>
    <t>Mammal | Mammifère</t>
  </si>
  <si>
    <t>Bird | Oiseau</t>
  </si>
  <si>
    <t>Insect | Insecte</t>
  </si>
  <si>
    <t>Arachnid | Araignée</t>
  </si>
  <si>
    <t>Amphibian | Amphibien</t>
  </si>
  <si>
    <t>Reptile</t>
  </si>
  <si>
    <t>Carnivorous plant | Plante carnivore</t>
  </si>
  <si>
    <t>Mushroom | Champignon</t>
  </si>
  <si>
    <t>Aquatic plant | Plante aquatique</t>
  </si>
  <si>
    <t>DO NOT CHANGE. THESE ARE LINKED TO COLUMNS IN THE BIODIVERSITY TABS AND CAN BE USED FOR THE CALCULATION OF ALPHA AND BETA DIVERSITY METRICS.</t>
  </si>
  <si>
    <t>WETLAND | ZONE HUMIDE</t>
  </si>
  <si>
    <t>FOREST | FORÊT</t>
  </si>
  <si>
    <t>PROPORTIONS (ABUNDANCE PROXY)</t>
  </si>
  <si>
    <t>Latin name</t>
  </si>
  <si>
    <t>Common name</t>
  </si>
  <si>
    <t>Taxon type</t>
  </si>
  <si>
    <t>Site ID</t>
  </si>
  <si>
    <t>Plot 3</t>
  </si>
  <si>
    <t>Plot 4</t>
  </si>
  <si>
    <t>Plot 5</t>
  </si>
  <si>
    <t>Mean Proportion at Site</t>
  </si>
  <si>
    <t>Field activity</t>
  </si>
  <si>
    <t>Latitude (N)</t>
  </si>
  <si>
    <t xml:space="preserve">Longitude (W) </t>
  </si>
  <si>
    <t>Water sampling</t>
  </si>
  <si>
    <t>Wetland Site A</t>
  </si>
  <si>
    <t>Wetland Site B</t>
  </si>
  <si>
    <t>Wetland Site C</t>
  </si>
  <si>
    <t>BioBlitz Wetland</t>
  </si>
  <si>
    <t>BioBlitz Forest</t>
  </si>
  <si>
    <t>Peat</t>
  </si>
  <si>
    <t>None</t>
  </si>
  <si>
    <t>0 (surface level)</t>
  </si>
  <si>
    <t>Poor drainage, no water present but soil was damp/moist</t>
  </si>
  <si>
    <t>Silty Clay Loam</t>
  </si>
  <si>
    <t xml:space="preserve">Slightly decomposed </t>
  </si>
  <si>
    <t>Muck</t>
  </si>
  <si>
    <t xml:space="preserve">Fully decomposed </t>
  </si>
  <si>
    <t>Mucky mineral soil</t>
  </si>
  <si>
    <t>purple</t>
  </si>
  <si>
    <t>Sandy loam</t>
  </si>
  <si>
    <t>Soil drainage class: somewhat excessive
Soil remains in ball when squeezed, does not shine, &lt; 1 inch ribbon, very gritty texture</t>
  </si>
  <si>
    <t>Sphagnum sp.</t>
  </si>
  <si>
    <t>Sphagnum moss</t>
  </si>
  <si>
    <t>5, 5, DY</t>
  </si>
  <si>
    <t>5, 5</t>
  </si>
  <si>
    <t>Typha sp.</t>
  </si>
  <si>
    <t>Cattails</t>
  </si>
  <si>
    <t>3, 5, Ca</t>
  </si>
  <si>
    <t>1, 5, Ca</t>
  </si>
  <si>
    <t>Calla palustris</t>
  </si>
  <si>
    <t>Marsh callas</t>
  </si>
  <si>
    <t>2, 5</t>
  </si>
  <si>
    <t>0 to 10</t>
  </si>
  <si>
    <t>Spiraea sp.</t>
  </si>
  <si>
    <t>Meadowsweets</t>
  </si>
  <si>
    <t>1, 5</t>
  </si>
  <si>
    <t>Lysimachia sp.</t>
  </si>
  <si>
    <t>Loosestrifes</t>
  </si>
  <si>
    <t>2, 2</t>
  </si>
  <si>
    <t>Alnus sp.</t>
  </si>
  <si>
    <t>Alder</t>
  </si>
  <si>
    <t>1, 5, Ca, FR</t>
  </si>
  <si>
    <t>50 to 500</t>
  </si>
  <si>
    <t>Equisetum palustre</t>
  </si>
  <si>
    <t>Marsh horsetail</t>
  </si>
  <si>
    <t>1, 2</t>
  </si>
  <si>
    <t>Subfamily Cyperoideae</t>
  </si>
  <si>
    <t>Grass/sedge</t>
  </si>
  <si>
    <t>2, 7</t>
  </si>
  <si>
    <t>Dulichium arundinaceum</t>
  </si>
  <si>
    <t>Three-way sedge</t>
  </si>
  <si>
    <t>Frangula sp.</t>
  </si>
  <si>
    <t>False-Buckthorns</t>
  </si>
  <si>
    <t>1, 5, SD</t>
  </si>
  <si>
    <t>1, 5, SD, FR</t>
  </si>
  <si>
    <t>10 to 500</t>
  </si>
  <si>
    <t>Acer rubrum</t>
  </si>
  <si>
    <t>Red Maple</t>
  </si>
  <si>
    <t>1, 3, Ca</t>
  </si>
  <si>
    <t>1000 to 2000</t>
  </si>
  <si>
    <t>1, 5, SD + Ca</t>
  </si>
  <si>
    <t>10 to 2000</t>
  </si>
  <si>
    <t>Tilia sp.</t>
  </si>
  <si>
    <t>Lindens, Basswoods, and Lime Trees</t>
  </si>
  <si>
    <t>1,5, SD</t>
  </si>
  <si>
    <t>1,7</t>
  </si>
  <si>
    <t>Cornus alternifolia</t>
  </si>
  <si>
    <t>Alternate-leaved Dogwood</t>
  </si>
  <si>
    <t>1,7, SD</t>
  </si>
  <si>
    <t>Prunus serotina</t>
  </si>
  <si>
    <t>Black Cherry</t>
  </si>
  <si>
    <t>11 to 50</t>
  </si>
  <si>
    <t>Prunus sp.</t>
  </si>
  <si>
    <t>Plums, Cherries, and Allies</t>
  </si>
  <si>
    <t>12 to 50</t>
  </si>
  <si>
    <t>Doellingeria umbellata</t>
  </si>
  <si>
    <t>Flat-top White Aster</t>
  </si>
  <si>
    <t>Acer sp.</t>
  </si>
  <si>
    <t>Maple</t>
  </si>
  <si>
    <t>Bidens discoidea</t>
  </si>
  <si>
    <t xml:space="preserve">Swamp Beggarticks </t>
  </si>
  <si>
    <t xml:space="preserve">Typha angustifolia </t>
  </si>
  <si>
    <t xml:space="preserve">Narrow-leaved Cattail </t>
  </si>
  <si>
    <t>Spiraea tomentosa</t>
  </si>
  <si>
    <t xml:space="preserve">Steeplebush </t>
  </si>
  <si>
    <t xml:space="preserve">Onoclea sensibilis </t>
  </si>
  <si>
    <t xml:space="preserve">Sensitive fern </t>
  </si>
  <si>
    <t xml:space="preserve">Chamaedaphne calyculata </t>
  </si>
  <si>
    <t xml:space="preserve">Leather leaf </t>
  </si>
  <si>
    <t xml:space="preserve">Three-way sedge </t>
  </si>
  <si>
    <t>Phalaris canariensis</t>
  </si>
  <si>
    <t>Seed canary grass</t>
  </si>
  <si>
    <t>Thelypteris palustris</t>
  </si>
  <si>
    <t>Marsh Fern</t>
  </si>
  <si>
    <t>Galium</t>
  </si>
  <si>
    <t>Bedstraws</t>
  </si>
  <si>
    <t>Lycopus uniflorus</t>
  </si>
  <si>
    <t>Northern water-horehound</t>
  </si>
  <si>
    <t>Lythrum salicaria</t>
  </si>
  <si>
    <t>Purple loosestrife</t>
  </si>
  <si>
    <t>Lythrum Salicaria</t>
  </si>
  <si>
    <t>Purple Loosestrife</t>
  </si>
  <si>
    <t>no</t>
  </si>
  <si>
    <t>poales</t>
  </si>
  <si>
    <t>Grass 1</t>
  </si>
  <si>
    <t>Sensitive Fern</t>
  </si>
  <si>
    <t>Hypnales</t>
  </si>
  <si>
    <t>Feather Moss</t>
  </si>
  <si>
    <t>Geum macrophyllum</t>
  </si>
  <si>
    <t>Large leafed Avens</t>
  </si>
  <si>
    <t>Equisetum pratense</t>
  </si>
  <si>
    <t>Meadow horsetail</t>
  </si>
  <si>
    <t>Galium palustre</t>
  </si>
  <si>
    <t>Common marsh bed straw</t>
  </si>
  <si>
    <t xml:space="preserve">Impatiens capensis </t>
  </si>
  <si>
    <t>Jewel weed</t>
  </si>
  <si>
    <t>Anthyrium angustum</t>
  </si>
  <si>
    <t>Northern Lady fern</t>
  </si>
  <si>
    <t xml:space="preserve">Phalaris canariensis </t>
  </si>
  <si>
    <t>seed canary grass</t>
  </si>
  <si>
    <t>Asclepias incarnata</t>
  </si>
  <si>
    <t>Swamp milkweed</t>
  </si>
  <si>
    <t>Halyomorpha halys</t>
  </si>
  <si>
    <t xml:space="preserve">brown stink bug </t>
  </si>
  <si>
    <t>Golden Rod</t>
  </si>
  <si>
    <t>Chinavia hilaris</t>
  </si>
  <si>
    <t>Green stink bug</t>
  </si>
  <si>
    <t>mecaphesa asperata</t>
  </si>
  <si>
    <t>Northern Crab Spider</t>
  </si>
  <si>
    <t>Tamias</t>
  </si>
  <si>
    <t>Chipmunks</t>
  </si>
  <si>
    <t>Prunus virginiana</t>
  </si>
  <si>
    <t>choke cherry</t>
  </si>
  <si>
    <t>BHD 7cm</t>
  </si>
  <si>
    <t>BHD 22cm</t>
  </si>
  <si>
    <t xml:space="preserve">Frangula alnus </t>
  </si>
  <si>
    <t>glossy buckthorn</t>
  </si>
  <si>
    <t>black cherry</t>
  </si>
  <si>
    <t>BHD 40cm</t>
  </si>
  <si>
    <t>Acer</t>
  </si>
  <si>
    <t>BHD 5.5cm</t>
  </si>
  <si>
    <t>gastropoda</t>
  </si>
  <si>
    <t>snails</t>
  </si>
  <si>
    <t>pink</t>
  </si>
  <si>
    <t xml:space="preserve">Colour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</si>
</sst>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9" formatCode="0.0"/>
    <numFmt numFmtId="170" formatCode="0.000"/>
  </numFmts>
  <fonts count="1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i/>
      <sz val="12"/>
      <color theme="1"/>
      <name val="Aptos Narrow"/>
      <scheme val="minor"/>
    </font>
    <font>
      <i/>
      <sz val="12"/>
      <color theme="1"/>
      <name val="Arial"/>
      <family val="2"/>
    </font>
    <font>
      <i/>
      <sz val="12"/>
      <color theme="0"/>
      <name val="Aptos Narrow"/>
      <scheme val="minor"/>
    </font>
    <font>
      <i/>
      <sz val="12"/>
      <color theme="0"/>
      <name val="Arial"/>
      <family val="2"/>
    </font>
    <font>
      <i/>
      <sz val="12"/>
      <color theme="0"/>
      <name val="Aptos Narrow"/>
      <family val="2"/>
      <scheme val="minor"/>
    </font>
    <font>
      <b/>
      <i/>
      <sz val="12"/>
      <color theme="0"/>
      <name val="Aptos Narrow"/>
      <scheme val="minor"/>
    </font>
    <font>
      <b/>
      <sz val="20"/>
      <color theme="1"/>
      <name val="Aptos Narrow"/>
      <scheme val="minor"/>
    </font>
    <font>
      <sz val="20"/>
      <color theme="1"/>
      <name val="Aptos Narrow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b/>
      <sz val="25"/>
      <color theme="1"/>
      <name val="Aptos Narrow"/>
      <scheme val="minor"/>
    </font>
    <font>
      <sz val="25"/>
      <color theme="1"/>
      <name val="Aptos Narrow"/>
      <scheme val="minor"/>
    </font>
    <font>
      <b/>
      <sz val="16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0" fillId="2" borderId="0" xfId="0" applyFill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3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/>
    <xf numFmtId="0" fontId="2" fillId="4" borderId="1" xfId="0" applyFont="1" applyFill="1" applyBorder="1"/>
    <xf numFmtId="0" fontId="2" fillId="3" borderId="3" xfId="0" applyFont="1" applyFill="1" applyBorder="1"/>
    <xf numFmtId="0" fontId="3" fillId="0" borderId="2" xfId="0" applyFont="1" applyBorder="1"/>
    <xf numFmtId="0" fontId="2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5" borderId="1" xfId="0" applyFont="1" applyFill="1" applyBorder="1" applyAlignment="1">
      <alignment vertical="center"/>
    </xf>
    <xf numFmtId="0" fontId="0" fillId="5" borderId="1" xfId="0" applyFill="1" applyBorder="1"/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0" fontId="1" fillId="7" borderId="1" xfId="0" applyFont="1" applyFill="1" applyBorder="1" applyAlignment="1">
      <alignment vertical="center"/>
    </xf>
    <xf numFmtId="0" fontId="0" fillId="7" borderId="1" xfId="0" applyFill="1" applyBorder="1"/>
    <xf numFmtId="0" fontId="1" fillId="4" borderId="1" xfId="0" applyFont="1" applyFill="1" applyBorder="1" applyAlignment="1">
      <alignment vertical="center"/>
    </xf>
    <xf numFmtId="0" fontId="0" fillId="4" borderId="1" xfId="0" applyFill="1" applyBorder="1"/>
    <xf numFmtId="0" fontId="1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/>
    <xf numFmtId="0" fontId="2" fillId="6" borderId="1" xfId="0" applyFont="1" applyFill="1" applyBorder="1"/>
    <xf numFmtId="0" fontId="3" fillId="8" borderId="1" xfId="0" applyFont="1" applyFill="1" applyBorder="1"/>
    <xf numFmtId="0" fontId="2" fillId="8" borderId="1" xfId="0" applyFont="1" applyFill="1" applyBorder="1"/>
    <xf numFmtId="0" fontId="3" fillId="9" borderId="1" xfId="0" applyFont="1" applyFill="1" applyBorder="1"/>
    <xf numFmtId="0" fontId="3" fillId="10" borderId="1" xfId="0" applyFont="1" applyFill="1" applyBorder="1"/>
    <xf numFmtId="0" fontId="3" fillId="10" borderId="5" xfId="0" applyFont="1" applyFill="1" applyBorder="1"/>
    <xf numFmtId="0" fontId="2" fillId="8" borderId="4" xfId="0" applyFont="1" applyFill="1" applyBorder="1"/>
    <xf numFmtId="0" fontId="2" fillId="9" borderId="6" xfId="0" applyFont="1" applyFill="1" applyBorder="1"/>
    <xf numFmtId="0" fontId="2" fillId="11" borderId="6" xfId="0" applyFont="1" applyFill="1" applyBorder="1"/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12" borderId="0" xfId="0" applyFont="1" applyFill="1" applyAlignment="1">
      <alignment horizontal="center" vertical="center"/>
    </xf>
    <xf numFmtId="0" fontId="7" fillId="12" borderId="1" xfId="0" applyFont="1" applyFill="1" applyBorder="1"/>
    <xf numFmtId="0" fontId="8" fillId="12" borderId="1" xfId="0" applyFont="1" applyFill="1" applyBorder="1" applyAlignment="1">
      <alignment horizontal="center"/>
    </xf>
    <xf numFmtId="0" fontId="7" fillId="12" borderId="1" xfId="0" applyFont="1" applyFill="1" applyBorder="1" applyAlignment="1">
      <alignment horizontal="center"/>
    </xf>
    <xf numFmtId="0" fontId="9" fillId="12" borderId="0" xfId="0" applyFont="1" applyFill="1" applyAlignment="1">
      <alignment vertical="center"/>
    </xf>
    <xf numFmtId="0" fontId="1" fillId="0" borderId="2" xfId="0" applyFont="1" applyBorder="1" applyAlignment="1">
      <alignment horizontal="center" wrapText="1"/>
    </xf>
    <xf numFmtId="0" fontId="10" fillId="2" borderId="0" xfId="0" applyFont="1" applyFill="1"/>
    <xf numFmtId="0" fontId="11" fillId="2" borderId="0" xfId="0" applyFont="1" applyFill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1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3" fillId="13" borderId="1" xfId="0" applyFont="1" applyFill="1" applyBorder="1"/>
    <xf numFmtId="0" fontId="2" fillId="13" borderId="3" xfId="0" applyFont="1" applyFill="1" applyBorder="1"/>
    <xf numFmtId="0" fontId="2" fillId="13" borderId="1" xfId="0" applyFont="1" applyFill="1" applyBorder="1"/>
    <xf numFmtId="0" fontId="3" fillId="5" borderId="1" xfId="0" applyFont="1" applyFill="1" applyBorder="1"/>
    <xf numFmtId="0" fontId="2" fillId="5" borderId="3" xfId="0" applyFont="1" applyFill="1" applyBorder="1"/>
    <xf numFmtId="0" fontId="2" fillId="5" borderId="1" xfId="0" applyFont="1" applyFill="1" applyBorder="1"/>
    <xf numFmtId="0" fontId="10" fillId="0" borderId="0" xfId="0" applyFont="1"/>
    <xf numFmtId="0" fontId="2" fillId="11" borderId="0" xfId="0" applyFont="1" applyFill="1"/>
    <xf numFmtId="0" fontId="3" fillId="10" borderId="2" xfId="0" applyFont="1" applyFill="1" applyBorder="1" applyAlignment="1">
      <alignment horizontal="center"/>
    </xf>
    <xf numFmtId="0" fontId="0" fillId="0" borderId="0" xfId="0" applyAlignment="1">
      <alignment wrapText="1"/>
    </xf>
    <xf numFmtId="164" fontId="3" fillId="0" borderId="0" xfId="0" applyNumberFormat="1" applyFont="1"/>
    <xf numFmtId="0" fontId="16" fillId="0" borderId="0" xfId="0" applyFont="1"/>
    <xf numFmtId="164" fontId="16" fillId="0" borderId="0" xfId="0" applyNumberFormat="1" applyFont="1"/>
    <xf numFmtId="0" fontId="1" fillId="7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12" fillId="0" borderId="0" xfId="0" applyFont="1" applyAlignment="1">
      <alignment horizontal="center"/>
    </xf>
    <xf numFmtId="2" fontId="13" fillId="0" borderId="0" xfId="0" applyNumberFormat="1" applyFont="1"/>
    <xf numFmtId="0" fontId="13" fillId="2" borderId="0" xfId="0" applyFont="1" applyFill="1"/>
    <xf numFmtId="0" fontId="13" fillId="0" borderId="0" xfId="0" applyFont="1" applyFill="1"/>
    <xf numFmtId="170" fontId="3" fillId="0" borderId="0" xfId="0" applyNumberFormat="1" applyFont="1" applyAlignment="1">
      <alignment horizontal="center"/>
    </xf>
    <xf numFmtId="2" fontId="2" fillId="8" borderId="1" xfId="0" applyNumberFormat="1" applyFont="1" applyFill="1" applyBorder="1"/>
    <xf numFmtId="2" fontId="2" fillId="8" borderId="4" xfId="0" applyNumberFormat="1" applyFont="1" applyFill="1" applyBorder="1"/>
    <xf numFmtId="2" fontId="2" fillId="8" borderId="3" xfId="0" applyNumberFormat="1" applyFont="1" applyFill="1" applyBorder="1"/>
    <xf numFmtId="169" fontId="2" fillId="8" borderId="1" xfId="0" applyNumberFormat="1" applyFont="1" applyFill="1" applyBorder="1"/>
    <xf numFmtId="169" fontId="2" fillId="8" borderId="4" xfId="0" applyNumberFormat="1" applyFont="1" applyFill="1" applyBorder="1"/>
    <xf numFmtId="169" fontId="2" fillId="8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8E109-C0FF-3D4B-9E86-468EF1F0A038}">
  <sheetPr>
    <tabColor theme="6" tint="0.39997558519241921"/>
  </sheetPr>
  <dimension ref="A1:AE31"/>
  <sheetViews>
    <sheetView tabSelected="1" zoomScale="120" zoomScaleNormal="120" workbookViewId="0">
      <selection activeCell="D33" sqref="D33"/>
    </sheetView>
  </sheetViews>
  <sheetFormatPr baseColWidth="10" defaultColWidth="11.5" defaultRowHeight="16" x14ac:dyDescent="0.2"/>
  <cols>
    <col min="1" max="1" width="9.33203125" style="2" customWidth="1"/>
    <col min="2" max="2" width="28" customWidth="1"/>
    <col min="3" max="3" width="26.5" bestFit="1" customWidth="1"/>
    <col min="4" max="4" width="36.33203125" customWidth="1"/>
    <col min="5" max="5" width="28.6640625" bestFit="1" customWidth="1"/>
    <col min="6" max="6" width="26.5" style="2" customWidth="1"/>
    <col min="7" max="7" width="14.5" customWidth="1"/>
    <col min="9" max="9" width="10.6640625" customWidth="1"/>
    <col min="10" max="10" width="13.33203125" customWidth="1"/>
    <col min="12" max="12" width="14" bestFit="1" customWidth="1"/>
    <col min="13" max="16" width="14" customWidth="1"/>
    <col min="17" max="17" width="14" bestFit="1" customWidth="1"/>
    <col min="18" max="21" width="14" customWidth="1"/>
    <col min="22" max="22" width="14" bestFit="1" customWidth="1"/>
    <col min="23" max="26" width="14" customWidth="1"/>
    <col min="27" max="27" width="17.33203125" customWidth="1"/>
    <col min="28" max="28" width="13" customWidth="1"/>
    <col min="29" max="29" width="10" style="2" customWidth="1"/>
    <col min="30" max="30" width="13" customWidth="1"/>
  </cols>
  <sheetData>
    <row r="1" spans="1:31" ht="34" x14ac:dyDescent="0.2">
      <c r="B1" s="75" t="s">
        <v>0</v>
      </c>
      <c r="C1" s="75"/>
      <c r="D1" s="75"/>
      <c r="E1" s="75"/>
      <c r="F1" s="50" t="s">
        <v>1</v>
      </c>
      <c r="G1" s="74" t="s">
        <v>2</v>
      </c>
      <c r="H1" s="74"/>
      <c r="I1" s="74"/>
      <c r="J1" s="74"/>
      <c r="K1" s="74"/>
      <c r="L1" s="73" t="s">
        <v>3</v>
      </c>
      <c r="M1" s="73"/>
      <c r="N1" s="73"/>
      <c r="O1" s="73"/>
      <c r="P1" s="73"/>
      <c r="Q1" s="74" t="s">
        <v>4</v>
      </c>
      <c r="R1" s="74"/>
      <c r="S1" s="74"/>
      <c r="T1" s="74"/>
      <c r="U1" s="74"/>
      <c r="V1" s="73" t="s">
        <v>5</v>
      </c>
      <c r="W1" s="73"/>
      <c r="X1" s="73"/>
      <c r="Y1" s="73"/>
      <c r="Z1" s="73"/>
      <c r="AA1" s="74" t="s">
        <v>6</v>
      </c>
      <c r="AB1" s="74"/>
      <c r="AC1" s="74"/>
      <c r="AD1" s="74"/>
      <c r="AE1" s="74"/>
    </row>
    <row r="2" spans="1:31" s="23" customFormat="1" ht="68" x14ac:dyDescent="0.2">
      <c r="A2" s="22" t="s">
        <v>7</v>
      </c>
      <c r="B2" s="24" t="s">
        <v>8</v>
      </c>
      <c r="C2" s="24" t="s">
        <v>9</v>
      </c>
      <c r="D2" s="32" t="s">
        <v>10</v>
      </c>
      <c r="E2" s="24" t="s">
        <v>11</v>
      </c>
      <c r="F2" s="26" t="s">
        <v>12</v>
      </c>
      <c r="G2" s="30" t="s">
        <v>13</v>
      </c>
      <c r="H2" s="30" t="s">
        <v>14</v>
      </c>
      <c r="I2" s="43" t="s">
        <v>15</v>
      </c>
      <c r="J2" s="30" t="s">
        <v>16</v>
      </c>
      <c r="K2" s="30" t="s">
        <v>17</v>
      </c>
      <c r="L2" s="28" t="s">
        <v>18</v>
      </c>
      <c r="M2" s="28" t="s">
        <v>19</v>
      </c>
      <c r="N2" s="43" t="s">
        <v>15</v>
      </c>
      <c r="O2" s="28" t="s">
        <v>16</v>
      </c>
      <c r="P2" s="28" t="s">
        <v>17</v>
      </c>
      <c r="Q2" s="30" t="s">
        <v>20</v>
      </c>
      <c r="R2" s="30" t="s">
        <v>21</v>
      </c>
      <c r="S2" s="43" t="s">
        <v>15</v>
      </c>
      <c r="T2" s="30" t="s">
        <v>16</v>
      </c>
      <c r="U2" s="30" t="s">
        <v>17</v>
      </c>
      <c r="V2" s="28" t="s">
        <v>22</v>
      </c>
      <c r="W2" s="28" t="s">
        <v>23</v>
      </c>
      <c r="X2" s="43" t="s">
        <v>15</v>
      </c>
      <c r="Y2" s="28" t="s">
        <v>16</v>
      </c>
      <c r="Z2" s="28" t="s">
        <v>17</v>
      </c>
      <c r="AA2" s="30" t="s">
        <v>24</v>
      </c>
      <c r="AB2" s="30" t="s">
        <v>25</v>
      </c>
      <c r="AC2" s="43" t="s">
        <v>15</v>
      </c>
      <c r="AD2" s="30" t="s">
        <v>16</v>
      </c>
      <c r="AE2" s="30" t="s">
        <v>17</v>
      </c>
    </row>
    <row r="3" spans="1:31" s="49" customFormat="1" x14ac:dyDescent="0.2">
      <c r="A3" s="45" t="s">
        <v>26</v>
      </c>
      <c r="B3" s="46" t="s">
        <v>27</v>
      </c>
      <c r="C3" s="46" t="s">
        <v>28</v>
      </c>
      <c r="D3" s="46" t="s">
        <v>29</v>
      </c>
      <c r="E3" s="46" t="s">
        <v>30</v>
      </c>
      <c r="F3" s="47" t="s">
        <v>31</v>
      </c>
      <c r="G3" s="48" t="s">
        <v>31</v>
      </c>
      <c r="H3" s="48">
        <v>4</v>
      </c>
      <c r="I3" s="48">
        <f>IF(H3 = 5, 1, IF(H3 = 4, 0.75, IF(H3 = 3, 0.5, IF(H3 = 2, 0.25, IF(H3 = 1, 0.05, IF(H3 = "&lt;1%", 0.01, IF(H3 = "", "")))))))</f>
        <v>0.75</v>
      </c>
      <c r="J3" s="48">
        <v>1</v>
      </c>
      <c r="K3" s="48">
        <v>6</v>
      </c>
      <c r="L3" s="48" t="s">
        <v>31</v>
      </c>
      <c r="M3" s="48">
        <v>3</v>
      </c>
      <c r="N3" s="48">
        <f>IF(M3 = 5, 1, IF(M3 = 4, 0.75, IF(M3 = 3, 0.5, IF(M3 = 2, 0.25, IF(M3 = 1, 0.05, IF(M3 = "&lt;1%", 0.01, IF(M3 = "", "")))))))</f>
        <v>0.5</v>
      </c>
      <c r="O3" s="48">
        <v>1</v>
      </c>
      <c r="P3" s="48">
        <v>6</v>
      </c>
      <c r="Q3" s="48" t="s">
        <v>32</v>
      </c>
      <c r="R3" s="48"/>
      <c r="S3" s="48" t="str">
        <f>IF(R3 = 5, 1, IF(R3 = 4, 0.75, IF(R3 = 3, 0.5, IF(R3 = 2, 0.25, IF(R3 = 1, 0.05, IF(R3 = "&lt;1%", 0.01, IF(R3 = "", "")))))))</f>
        <v/>
      </c>
      <c r="T3" s="48"/>
      <c r="U3" s="48"/>
      <c r="V3" s="48" t="s">
        <v>32</v>
      </c>
      <c r="W3" s="48"/>
      <c r="X3" s="48" t="str">
        <f>IF(W3 = 5, 1, IF(W3 = 4, 0.75, IF(W3 = 3, 0.5, IF(W3 = 2, 0.25, IF(W3 = 1, 0.05, IF(W3 = "&lt;1%", 0.01, IF(W3 = "", "")))))))</f>
        <v/>
      </c>
      <c r="Y3" s="48"/>
      <c r="Z3" s="48"/>
      <c r="AA3" s="48" t="s">
        <v>31</v>
      </c>
      <c r="AB3" s="48">
        <v>5</v>
      </c>
      <c r="AC3" s="48">
        <f>IF(AB3 = 5, 1, IF(AB3 = 4, 0.75, IF(AB3 = 3, 0.5, IF(AB3 = 2, 0.25, IF(AB3 = 1, 0.05, IF(AB3 = "&lt;1%", 0.01, IF(AB3 = "", "")))))))</f>
        <v>1</v>
      </c>
      <c r="AD3" s="48">
        <v>1</v>
      </c>
      <c r="AE3" s="48">
        <v>6</v>
      </c>
    </row>
    <row r="4" spans="1:31" x14ac:dyDescent="0.2">
      <c r="A4" s="2">
        <v>1</v>
      </c>
      <c r="B4" s="25" t="s">
        <v>243</v>
      </c>
      <c r="C4" s="25" t="s">
        <v>244</v>
      </c>
      <c r="D4" s="25" t="s">
        <v>151</v>
      </c>
      <c r="E4" s="25" t="s">
        <v>129</v>
      </c>
      <c r="F4" s="27" t="s">
        <v>31</v>
      </c>
      <c r="G4" s="31" t="s">
        <v>31</v>
      </c>
      <c r="H4" s="31">
        <v>4</v>
      </c>
      <c r="I4" s="44">
        <f>IF(H4 = 5, 1, IF(H4 = 4, 0.75, IF(H4 = 3, 0.5, IF(H4 = 2, 0.25, IF(H4 = 1, 0.05, IF(H4 = "&lt;1%", 0.01, IF(H4 = "", "")))))))</f>
        <v>0.75</v>
      </c>
      <c r="J4" s="31"/>
      <c r="K4" s="31">
        <v>3</v>
      </c>
      <c r="L4" s="29" t="s">
        <v>31</v>
      </c>
      <c r="M4" s="29">
        <v>1</v>
      </c>
      <c r="N4" s="44">
        <f>IF(M4 = 5, 1, IF(M4 = 4, 0.75, IF(M4 = 3, 0.5, IF(M4 = 2, 0.25, IF(M4 = 1, 0.05, IF(M4 = "&lt;1%", 0.01, IF(M4 = "", "")))))))</f>
        <v>0.05</v>
      </c>
      <c r="O4" s="29"/>
      <c r="P4" s="29">
        <v>3</v>
      </c>
      <c r="Q4" s="31" t="s">
        <v>31</v>
      </c>
      <c r="R4" s="31">
        <v>1</v>
      </c>
      <c r="S4" s="44">
        <f>IF(R4 = 5, 1, IF(R4 = 4, 0.75, IF(R4 = 3, 0.5, IF(R4 = 2, 0.25, IF(R4 = 1, 0.05, IF(R4 = "&lt;1%", 0.01, IF(R4 = "", "")))))))</f>
        <v>0.05</v>
      </c>
      <c r="T4" s="31"/>
      <c r="U4" s="31">
        <v>3</v>
      </c>
      <c r="V4" s="29" t="s">
        <v>31</v>
      </c>
      <c r="W4" s="29">
        <v>1</v>
      </c>
      <c r="X4" s="44">
        <f>IF(W4 = 5, 1, IF(W4 = 4, 0.75, IF(W4 = 3, 0.5, IF(W4 = 2, 0.25, IF(W4 = 1, 0.05, IF(W4 = "&lt;1%", 0.01, IF(W4 = "", "")))))))</f>
        <v>0.05</v>
      </c>
      <c r="Y4" s="29"/>
      <c r="Z4" s="29">
        <v>3</v>
      </c>
      <c r="AA4" s="31" t="s">
        <v>32</v>
      </c>
      <c r="AB4" s="31"/>
      <c r="AC4" s="44" t="str">
        <f>IF(AB4 = 5, 1, IF(AB4 = 4, 0.75, IF(AB4 = 3, 0.5, IF(AB4 = 2, 0.25, IF(AB4 = 1, 0.05, IF(AB4 = "&lt;1%", 0.01, IF(AB4 = "", "")))))))</f>
        <v/>
      </c>
      <c r="AD4" s="31"/>
      <c r="AE4" s="31"/>
    </row>
    <row r="5" spans="1:31" x14ac:dyDescent="0.2">
      <c r="A5" s="2">
        <v>2</v>
      </c>
      <c r="B5" s="25" t="s">
        <v>251</v>
      </c>
      <c r="C5" s="25" t="s">
        <v>252</v>
      </c>
      <c r="D5" s="25" t="s">
        <v>43</v>
      </c>
      <c r="E5" s="25" t="s">
        <v>129</v>
      </c>
      <c r="F5" s="27" t="s">
        <v>31</v>
      </c>
      <c r="G5" s="31" t="s">
        <v>31</v>
      </c>
      <c r="H5" s="31">
        <v>2</v>
      </c>
      <c r="I5" s="44">
        <f>IF(H5 = 5, 1, IF(H5 = 4, 0.75, IF(H5 = 3, 0.5, IF(H5 = 2, 0.25, IF(H5 = 1, 0.05, IF(H5 = "&lt;1%", 0.01, IF(H5 = "", "")))))))</f>
        <v>0.25</v>
      </c>
      <c r="J5" s="31"/>
      <c r="K5" s="31">
        <v>2</v>
      </c>
      <c r="L5" s="29" t="s">
        <v>31</v>
      </c>
      <c r="M5" s="29">
        <v>2</v>
      </c>
      <c r="N5" s="44">
        <f>IF(M5 = 5, 1, IF(M5 = 4, 0.75, IF(M5 = 3, 0.5, IF(M5 = 2, 0.25, IF(M5 = 1, 0.05, IF(M5 = "&lt;1%", 0.01, IF(M5 = "", "")))))))</f>
        <v>0.25</v>
      </c>
      <c r="O5" s="29"/>
      <c r="P5" s="29">
        <v>2</v>
      </c>
      <c r="Q5" s="31" t="s">
        <v>31</v>
      </c>
      <c r="R5" s="31">
        <v>2</v>
      </c>
      <c r="S5" s="44">
        <f>IF(R5 = 5, 1, IF(R5 = 4, 0.75, IF(R5 = 3, 0.5, IF(R5 = 2, 0.25, IF(R5 = 1, 0.05, IF(R5 = "&lt;1%", 0.01, IF(R5 = "", "")))))))</f>
        <v>0.25</v>
      </c>
      <c r="T5" s="31"/>
      <c r="U5" s="31">
        <v>2</v>
      </c>
      <c r="V5" s="29" t="s">
        <v>32</v>
      </c>
      <c r="W5" s="29"/>
      <c r="X5" s="44" t="str">
        <f>IF(W5 = 5, 1, IF(W5 = 4, 0.75, IF(W5 = 3, 0.5, IF(W5 = 2, 0.25, IF(W5 = 1, 0.05, IF(W5 = "&lt;1%", 0.01, IF(W5 = "", "")))))))</f>
        <v/>
      </c>
      <c r="Y5" s="29"/>
      <c r="Z5" s="29">
        <v>2</v>
      </c>
      <c r="AA5" s="31" t="s">
        <v>31</v>
      </c>
      <c r="AB5" s="31">
        <v>2</v>
      </c>
      <c r="AC5" s="44">
        <f>IF(AB5 = 5, 1, IF(AB5 = 4, 0.75, IF(AB5 = 3, 0.5, IF(AB5 = 2, 0.25, IF(AB5 = 1, 0.05, IF(AB5 = "&lt;1%", 0.01, IF(AB5 = "", "")))))))</f>
        <v>0.25</v>
      </c>
      <c r="AD5" s="31"/>
      <c r="AE5" s="31">
        <v>2</v>
      </c>
    </row>
    <row r="6" spans="1:31" x14ac:dyDescent="0.2">
      <c r="A6" s="2">
        <v>3</v>
      </c>
      <c r="B6" s="25" t="s">
        <v>213</v>
      </c>
      <c r="C6" s="25" t="s">
        <v>253</v>
      </c>
      <c r="D6" s="25" t="s">
        <v>55</v>
      </c>
      <c r="E6" s="25" t="s">
        <v>129</v>
      </c>
      <c r="F6" s="27" t="s">
        <v>31</v>
      </c>
      <c r="G6" s="31" t="s">
        <v>32</v>
      </c>
      <c r="H6" s="31"/>
      <c r="I6" s="44" t="str">
        <f>IF(H6 = 5, 1, IF(H6 = 4, 0.75, IF(H6 = 3, 0.5, IF(H6 = 2, 0.25, IF(H6 = 1, 0.05, IF(H6 = "&lt;1%", 0.01, IF(H6 = "", "")))))))</f>
        <v/>
      </c>
      <c r="J6" s="31"/>
      <c r="K6" s="31">
        <v>2</v>
      </c>
      <c r="L6" s="29" t="s">
        <v>31</v>
      </c>
      <c r="M6" s="29">
        <v>2</v>
      </c>
      <c r="N6" s="44">
        <f>IF(M6 = 5, 1, IF(M6 = 4, 0.75, IF(M6 = 3, 0.5, IF(M6 = 2, 0.25, IF(M6 = 1, 0.05, IF(M6 = "&lt;1%", 0.01, IF(M6 = "", "")))))))</f>
        <v>0.25</v>
      </c>
      <c r="O6" s="29"/>
      <c r="P6" s="29">
        <v>2</v>
      </c>
      <c r="Q6" s="31" t="s">
        <v>31</v>
      </c>
      <c r="R6" s="31">
        <v>2</v>
      </c>
      <c r="S6" s="44">
        <f>IF(R6 = 5, 1, IF(R6 = 4, 0.75, IF(R6 = 3, 0.5, IF(R6 = 2, 0.25, IF(R6 = 1, 0.05, IF(R6 = "&lt;1%", 0.01, IF(R6 = "", "")))))))</f>
        <v>0.25</v>
      </c>
      <c r="T6" s="31"/>
      <c r="U6" s="31">
        <v>2</v>
      </c>
      <c r="V6" s="29" t="s">
        <v>31</v>
      </c>
      <c r="W6" s="29">
        <v>2</v>
      </c>
      <c r="X6" s="44">
        <f>IF(W6 = 5, 1, IF(W6 = 4, 0.75, IF(W6 = 3, 0.5, IF(W6 = 2, 0.25, IF(W6 = 1, 0.05, IF(W6 = "&lt;1%", 0.01, IF(W6 = "", "")))))))</f>
        <v>0.25</v>
      </c>
      <c r="Y6" s="29"/>
      <c r="Z6" s="29">
        <v>2</v>
      </c>
      <c r="AA6" s="31" t="s">
        <v>32</v>
      </c>
      <c r="AB6" s="31"/>
      <c r="AC6" s="44" t="str">
        <f>IF(AB6 = 5, 1, IF(AB6 = 4, 0.75, IF(AB6 = 3, 0.5, IF(AB6 = 2, 0.25, IF(AB6 = 1, 0.05, IF(AB6 = "&lt;1%", 0.01, IF(AB6 = "", "")))))))</f>
        <v/>
      </c>
      <c r="AD6" s="31"/>
      <c r="AE6" s="31">
        <v>2</v>
      </c>
    </row>
    <row r="7" spans="1:31" x14ac:dyDescent="0.2">
      <c r="A7" s="2">
        <v>4</v>
      </c>
      <c r="B7" s="25" t="s">
        <v>258</v>
      </c>
      <c r="C7" s="25" t="s">
        <v>259</v>
      </c>
      <c r="D7" s="25" t="s">
        <v>43</v>
      </c>
      <c r="E7" s="25" t="s">
        <v>129</v>
      </c>
      <c r="F7" s="27" t="s">
        <v>31</v>
      </c>
      <c r="G7" s="31" t="s">
        <v>32</v>
      </c>
      <c r="H7" s="31"/>
      <c r="I7" s="44" t="str">
        <f>IF(H7 = 5, 1, IF(H7 = 4, 0.75, IF(H7 = 3, 0.5, IF(H7 = 2, 0.25, IF(H7 = 1, 0.05, IF(H7 = "&lt;1%", 0.01, IF(H7 = "", "")))))))</f>
        <v/>
      </c>
      <c r="J7" s="31"/>
      <c r="K7" s="31">
        <v>3</v>
      </c>
      <c r="L7" s="29" t="s">
        <v>32</v>
      </c>
      <c r="M7" s="29"/>
      <c r="N7" s="44" t="str">
        <f>IF(M7 = 5, 1, IF(M7 = 4, 0.75, IF(M7 = 3, 0.5, IF(M7 = 2, 0.25, IF(M7 = 1, 0.05, IF(M7 = "&lt;1%", 0.01, IF(M7 = "", "")))))))</f>
        <v/>
      </c>
      <c r="O7" s="29"/>
      <c r="P7" s="29">
        <v>3</v>
      </c>
      <c r="Q7" s="31" t="s">
        <v>32</v>
      </c>
      <c r="R7" s="31"/>
      <c r="S7" s="44" t="str">
        <f>IF(R7 = 5, 1, IF(R7 = 4, 0.75, IF(R7 = 3, 0.5, IF(R7 = 2, 0.25, IF(R7 = 1, 0.05, IF(R7 = "&lt;1%", 0.01, IF(R7 = "", "")))))))</f>
        <v/>
      </c>
      <c r="T7" s="31"/>
      <c r="U7" s="31">
        <v>3</v>
      </c>
      <c r="V7" s="29" t="s">
        <v>31</v>
      </c>
      <c r="W7" s="29">
        <v>1</v>
      </c>
      <c r="X7" s="44">
        <f>IF(W7 = 5, 1, IF(W7 = 4, 0.75, IF(W7 = 3, 0.5, IF(W7 = 2, 0.25, IF(W7 = 1, 0.05, IF(W7 = "&lt;1%", 0.01, IF(W7 = "", "")))))))</f>
        <v>0.05</v>
      </c>
      <c r="Y7" s="29"/>
      <c r="Z7" s="29">
        <v>3</v>
      </c>
      <c r="AA7" s="31" t="s">
        <v>31</v>
      </c>
      <c r="AB7" s="31">
        <v>1</v>
      </c>
      <c r="AC7" s="44">
        <f>IF(AB7 = 5, 1, IF(AB7 = 4, 0.75, IF(AB7 = 3, 0.5, IF(AB7 = 2, 0.25, IF(AB7 = 1, 0.05, IF(AB7 = "&lt;1%", 0.01, IF(AB7 = "", "")))))))</f>
        <v>0.05</v>
      </c>
      <c r="AD7" s="31"/>
      <c r="AE7" s="31">
        <v>3</v>
      </c>
    </row>
    <row r="8" spans="1:31" x14ac:dyDescent="0.2">
      <c r="A8" s="2">
        <v>5</v>
      </c>
      <c r="B8" s="25" t="s">
        <v>260</v>
      </c>
      <c r="C8" s="25" t="s">
        <v>261</v>
      </c>
      <c r="D8" s="25" t="s">
        <v>55</v>
      </c>
      <c r="E8" s="25" t="s">
        <v>129</v>
      </c>
      <c r="F8" s="27" t="s">
        <v>31</v>
      </c>
      <c r="G8" s="31" t="s">
        <v>32</v>
      </c>
      <c r="H8" s="31"/>
      <c r="I8" s="44" t="str">
        <f>IF(H8 = 5, 1, IF(H8 = 4, 0.75, IF(H8 = 3, 0.5, IF(H8 = 2, 0.25, IF(H8 = 1, 0.05, IF(H8 = "&lt;1%", 0.01, IF(H8 = "", "")))))))</f>
        <v/>
      </c>
      <c r="J8" s="31"/>
      <c r="K8" s="31">
        <v>3</v>
      </c>
      <c r="L8" s="29" t="s">
        <v>32</v>
      </c>
      <c r="M8" s="29"/>
      <c r="N8" s="44" t="str">
        <f>IF(M8 = 5, 1, IF(M8 = 4, 0.75, IF(M8 = 3, 0.5, IF(M8 = 2, 0.25, IF(M8 = 1, 0.05, IF(M8 = "&lt;1%", 0.01, IF(M8 = "", "")))))))</f>
        <v/>
      </c>
      <c r="O8" s="29"/>
      <c r="P8" s="29">
        <v>3</v>
      </c>
      <c r="Q8" s="31" t="s">
        <v>32</v>
      </c>
      <c r="R8" s="31"/>
      <c r="S8" s="44" t="str">
        <f>IF(R8 = 5, 1, IF(R8 = 4, 0.75, IF(R8 = 3, 0.5, IF(R8 = 2, 0.25, IF(R8 = 1, 0.05, IF(R8 = "&lt;1%", 0.01, IF(R8 = "", "")))))))</f>
        <v/>
      </c>
      <c r="T8" s="31"/>
      <c r="U8" s="31">
        <v>3</v>
      </c>
      <c r="V8" s="29" t="s">
        <v>31</v>
      </c>
      <c r="W8" s="29">
        <v>1</v>
      </c>
      <c r="X8" s="44">
        <f>IF(W8 = 5, 1, IF(W8 = 4, 0.75, IF(W8 = 3, 0.5, IF(W8 = 2, 0.25, IF(W8 = 1, 0.05, IF(W8 = "&lt;1%", 0.01, IF(W8 = "", "")))))))</f>
        <v>0.05</v>
      </c>
      <c r="Y8" s="29"/>
      <c r="Z8" s="29">
        <v>3</v>
      </c>
      <c r="AA8" s="31" t="s">
        <v>31</v>
      </c>
      <c r="AB8" s="31">
        <v>1</v>
      </c>
      <c r="AC8" s="44">
        <f>IF(AB8 = 5, 1, IF(AB8 = 4, 0.75, IF(AB8 = 3, 0.5, IF(AB8 = 2, 0.25, IF(AB8 = 1, 0.05, IF(AB8 = "&lt;1%", 0.01, IF(AB8 = "", "")))))))</f>
        <v>0.05</v>
      </c>
      <c r="AD8" s="31"/>
      <c r="AE8" s="31">
        <v>3</v>
      </c>
    </row>
    <row r="9" spans="1:31" x14ac:dyDescent="0.2">
      <c r="A9" s="2">
        <v>6</v>
      </c>
      <c r="B9" s="25" t="s">
        <v>262</v>
      </c>
      <c r="C9" s="25" t="s">
        <v>263</v>
      </c>
      <c r="D9" s="25" t="s">
        <v>55</v>
      </c>
      <c r="E9" s="25" t="s">
        <v>129</v>
      </c>
      <c r="F9" s="27" t="s">
        <v>32</v>
      </c>
      <c r="G9" s="31" t="s">
        <v>32</v>
      </c>
      <c r="H9" s="31"/>
      <c r="I9" s="44" t="str">
        <f>IF(H9 = 5, 1, IF(H9 = 4, 0.75, IF(H9 = 3, 0.5, IF(H9 = 2, 0.25, IF(H9 = 1, 0.05, IF(H9 = "&lt;1%", 0.01, IF(H9 = "", "")))))))</f>
        <v/>
      </c>
      <c r="J9" s="31"/>
      <c r="K9" s="31">
        <v>3</v>
      </c>
      <c r="L9" s="29" t="s">
        <v>32</v>
      </c>
      <c r="M9" s="29"/>
      <c r="N9" s="44" t="str">
        <f>IF(M9 = 5, 1, IF(M9 = 4, 0.75, IF(M9 = 3, 0.5, IF(M9 = 2, 0.25, IF(M9 = 1, 0.05, IF(M9 = "&lt;1%", 0.01, IF(M9 = "", "")))))))</f>
        <v/>
      </c>
      <c r="O9" s="29"/>
      <c r="P9" s="29">
        <v>3</v>
      </c>
      <c r="Q9" s="31" t="s">
        <v>32</v>
      </c>
      <c r="R9" s="31"/>
      <c r="S9" s="44" t="str">
        <f>IF(R9 = 5, 1, IF(R9 = 4, 0.75, IF(R9 = 3, 0.5, IF(R9 = 2, 0.25, IF(R9 = 1, 0.05, IF(R9 = "&lt;1%", 0.01, IF(R9 = "", "")))))))</f>
        <v/>
      </c>
      <c r="T9" s="31"/>
      <c r="U9" s="31">
        <v>3</v>
      </c>
      <c r="V9" s="29" t="s">
        <v>32</v>
      </c>
      <c r="W9" s="29"/>
      <c r="X9" s="44" t="str">
        <f>IF(W9 = 5, 1, IF(W9 = 4, 0.75, IF(W9 = 3, 0.5, IF(W9 = 2, 0.25, IF(W9 = 1, 0.05, IF(W9 = "&lt;1%", 0.01, IF(W9 = "", "")))))))</f>
        <v/>
      </c>
      <c r="Y9" s="29"/>
      <c r="Z9" s="29">
        <v>3</v>
      </c>
      <c r="AA9" s="31" t="s">
        <v>31</v>
      </c>
      <c r="AB9" s="31">
        <v>1</v>
      </c>
      <c r="AC9" s="44">
        <f>IF(AB9 = 5, 1, IF(AB9 = 4, 0.75, IF(AB9 = 3, 0.5, IF(AB9 = 2, 0.25, IF(AB9 = 1, 0.05, IF(AB9 = "&lt;1%", 0.01, IF(AB9 = "", "")))))))</f>
        <v>0.05</v>
      </c>
      <c r="AD9" s="31"/>
      <c r="AE9" s="31">
        <v>3</v>
      </c>
    </row>
    <row r="10" spans="1:31" x14ac:dyDescent="0.2">
      <c r="A10" s="2">
        <v>7</v>
      </c>
      <c r="B10" s="25" t="s">
        <v>249</v>
      </c>
      <c r="C10" s="25" t="s">
        <v>250</v>
      </c>
      <c r="D10" s="25" t="s">
        <v>83</v>
      </c>
      <c r="E10" s="25" t="s">
        <v>129</v>
      </c>
      <c r="F10" s="27" t="s">
        <v>31</v>
      </c>
      <c r="G10" s="31" t="s">
        <v>31</v>
      </c>
      <c r="H10" s="31">
        <v>1</v>
      </c>
      <c r="I10" s="44">
        <f>IF(H10 = 5, 1, IF(H10 = 4, 0.75, IF(H10 = 3, 0.5, IF(H10 = 2, 0.25, IF(H10 = 1, 0.05, IF(H10 = "&lt;1%", 0.01, IF(H10 = "", "")))))))</f>
        <v>0.05</v>
      </c>
      <c r="J10" s="31"/>
      <c r="K10" s="31">
        <v>2</v>
      </c>
      <c r="L10" s="29" t="s">
        <v>31</v>
      </c>
      <c r="M10" s="29">
        <v>1</v>
      </c>
      <c r="N10" s="44">
        <f>IF(M10 = 5, 1, IF(M10 = 4, 0.75, IF(M10 = 3, 0.5, IF(M10 = 2, 0.25, IF(M10 = 1, 0.05, IF(M10 = "&lt;1%", 0.01, IF(M10 = "", "")))))))</f>
        <v>0.05</v>
      </c>
      <c r="O10" s="29"/>
      <c r="P10" s="29">
        <v>2</v>
      </c>
      <c r="Q10" s="31" t="s">
        <v>31</v>
      </c>
      <c r="R10" s="31">
        <v>1</v>
      </c>
      <c r="S10" s="44">
        <f>IF(R10 = 5, 1, IF(R10 = 4, 0.75, IF(R10 = 3, 0.5, IF(R10 = 2, 0.25, IF(R10 = 1, 0.05, IF(R10 = "&lt;1%", 0.01, IF(R10 = "", "")))))))</f>
        <v>0.05</v>
      </c>
      <c r="T10" s="31"/>
      <c r="U10" s="31">
        <v>2</v>
      </c>
      <c r="V10" s="29" t="s">
        <v>31</v>
      </c>
      <c r="W10" s="29">
        <v>1</v>
      </c>
      <c r="X10" s="44">
        <f>IF(W10 = 5, 1, IF(W10 = 4, 0.75, IF(W10 = 3, 0.5, IF(W10 = 2, 0.25, IF(W10 = 1, 0.05, IF(W10 = "&lt;1%", 0.01, IF(W10 = "", "")))))))</f>
        <v>0.05</v>
      </c>
      <c r="Y10" s="29"/>
      <c r="Z10" s="29">
        <v>2</v>
      </c>
      <c r="AA10" s="31" t="s">
        <v>31</v>
      </c>
      <c r="AB10" s="31">
        <v>1</v>
      </c>
      <c r="AC10" s="44">
        <f>IF(AB10 = 5, 1, IF(AB10 = 4, 0.75, IF(AB10 = 3, 0.5, IF(AB10 = 2, 0.25, IF(AB10 = 1, 0.05, IF(AB10 = "&lt;1%", 0.01, IF(AB10 = "", "")))))))</f>
        <v>0.05</v>
      </c>
      <c r="AD10" s="31"/>
      <c r="AE10" s="31">
        <v>2</v>
      </c>
    </row>
    <row r="11" spans="1:31" x14ac:dyDescent="0.2">
      <c r="A11" s="2">
        <v>8</v>
      </c>
      <c r="B11" s="25" t="s">
        <v>254</v>
      </c>
      <c r="C11" s="25" t="s">
        <v>255</v>
      </c>
      <c r="D11" s="25" t="s">
        <v>55</v>
      </c>
      <c r="E11" s="25" t="s">
        <v>129</v>
      </c>
      <c r="F11" s="27" t="s">
        <v>31</v>
      </c>
      <c r="G11" s="31" t="s">
        <v>32</v>
      </c>
      <c r="H11" s="31"/>
      <c r="I11" s="44" t="str">
        <f>IF(H11 = 5, 1, IF(H11 = 4, 0.75, IF(H11 = 3, 0.5, IF(H11 = 2, 0.25, IF(H11 = 1, 0.05, IF(H11 = "&lt;1%", 0.01, IF(H11 = "", "")))))))</f>
        <v/>
      </c>
      <c r="J11" s="31"/>
      <c r="K11" s="31">
        <v>2</v>
      </c>
      <c r="L11" s="29" t="s">
        <v>32</v>
      </c>
      <c r="M11" s="29">
        <v>2</v>
      </c>
      <c r="N11" s="44">
        <f>IF(M11 = 5, 1, IF(M11 = 4, 0.75, IF(M11 = 3, 0.5, IF(M11 = 2, 0.25, IF(M11 = 1, 0.05, IF(M11 = "&lt;1%", 0.01, IF(M11 = "", "")))))))</f>
        <v>0.25</v>
      </c>
      <c r="O11" s="29"/>
      <c r="P11" s="29">
        <v>2</v>
      </c>
      <c r="Q11" s="31" t="s">
        <v>32</v>
      </c>
      <c r="R11" s="31"/>
      <c r="S11" s="44" t="str">
        <f>IF(R11 = 5, 1, IF(R11 = 4, 0.75, IF(R11 = 3, 0.5, IF(R11 = 2, 0.25, IF(R11 = 1, 0.05, IF(R11 = "&lt;1%", 0.01, IF(R11 = "", "")))))))</f>
        <v/>
      </c>
      <c r="T11" s="31"/>
      <c r="U11" s="31">
        <v>2</v>
      </c>
      <c r="V11" s="29" t="s">
        <v>31</v>
      </c>
      <c r="W11" s="29">
        <v>2</v>
      </c>
      <c r="X11" s="44">
        <f>IF(W11 = 5, 1, IF(W11 = 4, 0.75, IF(W11 = 3, 0.5, IF(W11 = 2, 0.25, IF(W11 = 1, 0.05, IF(W11 = "&lt;1%", 0.01, IF(W11 = "", "")))))))</f>
        <v>0.25</v>
      </c>
      <c r="Y11" s="29"/>
      <c r="Z11" s="29">
        <v>2</v>
      </c>
      <c r="AA11" s="31" t="s">
        <v>31</v>
      </c>
      <c r="AB11" s="31">
        <v>2</v>
      </c>
      <c r="AC11" s="44">
        <f>IF(AB11 = 5, 1, IF(AB11 = 4, 0.75, IF(AB11 = 3, 0.5, IF(AB11 = 2, 0.25, IF(AB11 = 1, 0.05, IF(AB11 = "&lt;1%", 0.01, IF(AB11 = "", "")))))))</f>
        <v>0.25</v>
      </c>
      <c r="AD11" s="31"/>
      <c r="AE11" s="31">
        <v>2</v>
      </c>
    </row>
    <row r="12" spans="1:31" x14ac:dyDescent="0.2">
      <c r="A12" s="2">
        <v>9</v>
      </c>
      <c r="B12" s="25" t="s">
        <v>247</v>
      </c>
      <c r="C12" s="25" t="s">
        <v>248</v>
      </c>
      <c r="D12" s="25" t="s">
        <v>43</v>
      </c>
      <c r="E12" s="25" t="s">
        <v>129</v>
      </c>
      <c r="F12" s="27" t="s">
        <v>31</v>
      </c>
      <c r="G12" s="31" t="s">
        <v>31</v>
      </c>
      <c r="H12" s="31">
        <v>3</v>
      </c>
      <c r="I12" s="44">
        <f>IF(H12 = 5, 1, IF(H12 = 4, 0.75, IF(H12 = 3, 0.5, IF(H12 = 2, 0.25, IF(H12 = 1, 0.05, IF(H12 = "&lt;1%", 0.01, IF(H12 = "", "")))))))</f>
        <v>0.5</v>
      </c>
      <c r="J12" s="31"/>
      <c r="K12" s="31">
        <v>3</v>
      </c>
      <c r="L12" s="29" t="s">
        <v>32</v>
      </c>
      <c r="M12" s="29"/>
      <c r="N12" s="44" t="str">
        <f>IF(M12 = 5, 1, IF(M12 = 4, 0.75, IF(M12 = 3, 0.5, IF(M12 = 2, 0.25, IF(M12 = 1, 0.05, IF(M12 = "&lt;1%", 0.01, IF(M12 = "", "")))))))</f>
        <v/>
      </c>
      <c r="O12" s="29"/>
      <c r="P12" s="29">
        <v>3</v>
      </c>
      <c r="Q12" s="31" t="s">
        <v>32</v>
      </c>
      <c r="R12" s="31"/>
      <c r="S12" s="44" t="str">
        <f>IF(R12 = 5, 1, IF(R12 = 4, 0.75, IF(R12 = 3, 0.5, IF(R12 = 2, 0.25, IF(R12 = 1, 0.05, IF(R12 = "&lt;1%", 0.01, IF(R12 = "", "")))))))</f>
        <v/>
      </c>
      <c r="T12" s="31"/>
      <c r="U12" s="31">
        <v>3</v>
      </c>
      <c r="V12" s="29" t="s">
        <v>31</v>
      </c>
      <c r="W12" s="29">
        <v>1</v>
      </c>
      <c r="X12" s="44">
        <f>IF(W12 = 5, 1, IF(W12 = 4, 0.75, IF(W12 = 3, 0.5, IF(W12 = 2, 0.25, IF(W12 = 1, 0.05, IF(W12 = "&lt;1%", 0.01, IF(W12 = "", "")))))))</f>
        <v>0.05</v>
      </c>
      <c r="Y12" s="29"/>
      <c r="Z12" s="29">
        <v>3</v>
      </c>
      <c r="AA12" s="31" t="s">
        <v>31</v>
      </c>
      <c r="AB12" s="31">
        <v>1</v>
      </c>
      <c r="AC12" s="44">
        <f>IF(AB12 = 5, 1, IF(AB12 = 4, 0.75, IF(AB12 = 3, 0.5, IF(AB12 = 2, 0.25, IF(AB12 = 1, 0.05, IF(AB12 = "&lt;1%", 0.01, IF(AB12 = "", "")))))))</f>
        <v>0.05</v>
      </c>
      <c r="AD12" s="31"/>
      <c r="AE12" s="31">
        <v>3</v>
      </c>
    </row>
    <row r="13" spans="1:31" x14ac:dyDescent="0.2">
      <c r="A13" s="2">
        <v>10</v>
      </c>
      <c r="B13" s="25" t="s">
        <v>256</v>
      </c>
      <c r="C13" s="25" t="s">
        <v>257</v>
      </c>
      <c r="D13" s="25" t="s">
        <v>83</v>
      </c>
      <c r="E13" s="25" t="s">
        <v>129</v>
      </c>
      <c r="F13" s="27" t="s">
        <v>31</v>
      </c>
      <c r="G13" s="31" t="s">
        <v>32</v>
      </c>
      <c r="H13" s="31"/>
      <c r="I13" s="44" t="str">
        <f>IF(H13 = 5, 1, IF(H13 = 4, 0.75, IF(H13 = 3, 0.5, IF(H13 = 2, 0.25, IF(H13 = 1, 0.05, IF(H13 = "&lt;1%", 0.01, IF(H13 = "", "")))))))</f>
        <v/>
      </c>
      <c r="J13" s="31"/>
      <c r="K13" s="31">
        <v>3</v>
      </c>
      <c r="L13" s="29" t="s">
        <v>32</v>
      </c>
      <c r="M13" s="29"/>
      <c r="N13" s="44" t="str">
        <f>IF(M13 = 5, 1, IF(M13 = 4, 0.75, IF(M13 = 3, 0.5, IF(M13 = 2, 0.25, IF(M13 = 1, 0.05, IF(M13 = "&lt;1%", 0.01, IF(M13 = "", "")))))))</f>
        <v/>
      </c>
      <c r="O13" s="29"/>
      <c r="P13" s="29">
        <v>3</v>
      </c>
      <c r="Q13" s="31" t="s">
        <v>31</v>
      </c>
      <c r="R13" s="31">
        <v>1</v>
      </c>
      <c r="S13" s="44">
        <f>IF(R13 = 5, 1, IF(R13 = 4, 0.75, IF(R13 = 3, 0.5, IF(R13 = 2, 0.25, IF(R13 = 1, 0.05, IF(R13 = "&lt;1%", 0.01, IF(R13 = "", "")))))))</f>
        <v>0.05</v>
      </c>
      <c r="T13" s="31"/>
      <c r="U13" s="31">
        <v>3</v>
      </c>
      <c r="V13" s="29" t="s">
        <v>32</v>
      </c>
      <c r="W13" s="29"/>
      <c r="X13" s="44" t="str">
        <f>IF(W13 = 5, 1, IF(W13 = 4, 0.75, IF(W13 = 3, 0.5, IF(W13 = 2, 0.25, IF(W13 = 1, 0.05, IF(W13 = "&lt;1%", 0.01, IF(W13 = "", "")))))))</f>
        <v/>
      </c>
      <c r="Y13" s="29"/>
      <c r="Z13" s="29">
        <v>3</v>
      </c>
      <c r="AA13" s="31" t="s">
        <v>32</v>
      </c>
      <c r="AB13" s="31"/>
      <c r="AC13" s="44" t="str">
        <f>IF(AB13 = 5, 1, IF(AB13 = 4, 0.75, IF(AB13 = 3, 0.5, IF(AB13 = 2, 0.25, IF(AB13 = 1, 0.05, IF(AB13 = "&lt;1%", 0.01, IF(AB13 = "", "")))))))</f>
        <v/>
      </c>
      <c r="AD13" s="31"/>
      <c r="AE13" s="31">
        <v>3</v>
      </c>
    </row>
    <row r="14" spans="1:31" x14ac:dyDescent="0.2">
      <c r="A14" s="2">
        <v>11</v>
      </c>
      <c r="B14" s="25" t="s">
        <v>245</v>
      </c>
      <c r="C14" s="25" t="s">
        <v>246</v>
      </c>
      <c r="D14" s="25" t="s">
        <v>151</v>
      </c>
      <c r="E14" s="25" t="s">
        <v>129</v>
      </c>
      <c r="F14" s="27" t="s">
        <v>31</v>
      </c>
      <c r="G14" s="31" t="s">
        <v>31</v>
      </c>
      <c r="H14" s="31">
        <v>4</v>
      </c>
      <c r="I14" s="44">
        <f>IF(H14 = 5, 1, IF(H14 = 4, 0.75, IF(H14 = 3, 0.5, IF(H14 = 2, 0.25, IF(H14 = 1, 0.05, IF(H14 = "&lt;1%", 0.01, IF(H14 = "", "")))))))</f>
        <v>0.75</v>
      </c>
      <c r="J14" s="31"/>
      <c r="K14" s="31">
        <v>4</v>
      </c>
      <c r="L14" s="29" t="s">
        <v>31</v>
      </c>
      <c r="M14" s="29">
        <v>4</v>
      </c>
      <c r="N14" s="44">
        <f>IF(M14 = 5, 1, IF(M14 = 4, 0.75, IF(M14 = 3, 0.5, IF(M14 = 2, 0.25, IF(M14 = 1, 0.05, IF(M14 = "&lt;1%", 0.01, IF(M14 = "", "")))))))</f>
        <v>0.75</v>
      </c>
      <c r="O14" s="29"/>
      <c r="P14" s="29">
        <v>4</v>
      </c>
      <c r="Q14" s="31" t="s">
        <v>31</v>
      </c>
      <c r="R14" s="31">
        <v>4</v>
      </c>
      <c r="S14" s="44">
        <f>IF(R14 = 5, 1, IF(R14 = 4, 0.75, IF(R14 = 3, 0.5, IF(R14 = 2, 0.25, IF(R14 = 1, 0.05, IF(R14 = "&lt;1%", 0.01, IF(R14 = "", "")))))))</f>
        <v>0.75</v>
      </c>
      <c r="T14" s="31"/>
      <c r="U14" s="31">
        <v>4</v>
      </c>
      <c r="V14" s="29" t="s">
        <v>31</v>
      </c>
      <c r="W14" s="29">
        <v>4</v>
      </c>
      <c r="X14" s="44">
        <f>IF(W14 = 5, 1, IF(W14 = 4, 0.75, IF(W14 = 3, 0.5, IF(W14 = 2, 0.25, IF(W14 = 1, 0.05, IF(W14 = "&lt;1%", 0.01, IF(W14 = "", "")))))))</f>
        <v>0.75</v>
      </c>
      <c r="Y14" s="29"/>
      <c r="Z14" s="29">
        <v>4</v>
      </c>
      <c r="AA14" s="31" t="s">
        <v>31</v>
      </c>
      <c r="AB14" s="31">
        <v>4</v>
      </c>
      <c r="AC14" s="44">
        <f>IF(AB14 = 5, 1, IF(AB14 = 4, 0.75, IF(AB14 = 3, 0.5, IF(AB14 = 2, 0.25, IF(AB14 = 1, 0.05, IF(AB14 = "&lt;1%", 0.01, IF(AB14 = "", "")))))))</f>
        <v>0.75</v>
      </c>
      <c r="AD14" s="31"/>
      <c r="AE14" s="31">
        <v>4</v>
      </c>
    </row>
    <row r="15" spans="1:31" x14ac:dyDescent="0.2">
      <c r="A15" s="2">
        <v>12</v>
      </c>
      <c r="B15" s="25" t="s">
        <v>203</v>
      </c>
      <c r="C15" s="25" t="s">
        <v>204</v>
      </c>
      <c r="D15" s="25" t="s">
        <v>37</v>
      </c>
      <c r="E15" s="25" t="s">
        <v>30</v>
      </c>
      <c r="F15" s="27" t="s">
        <v>32</v>
      </c>
      <c r="G15" s="31" t="s">
        <v>32</v>
      </c>
      <c r="H15" s="31"/>
      <c r="I15" s="44" t="str">
        <f>IF(H15 = 5, 1, IF(H15 = 4, 0.75, IF(H15 = 3, 0.5, IF(H15 = 2, 0.25, IF(H15 = 1, 0.05, IF(H15 = "&lt;1%", 0.01, IF(H15 = "", "")))))))</f>
        <v/>
      </c>
      <c r="J15" s="31"/>
      <c r="K15" s="31"/>
      <c r="L15" s="29" t="s">
        <v>31</v>
      </c>
      <c r="M15" s="29">
        <v>1</v>
      </c>
      <c r="N15" s="44">
        <f>IF(M15 = 5, 1, IF(M15 = 4, 0.75, IF(M15 = 3, 0.5, IF(M15 = 2, 0.25, IF(M15 = 1, 0.05, IF(M15 = "&lt;1%", 0.01, IF(M15 = "", "")))))))</f>
        <v>0.05</v>
      </c>
      <c r="O15" s="29" t="s">
        <v>205</v>
      </c>
      <c r="P15" s="29" t="s">
        <v>206</v>
      </c>
      <c r="Q15" s="31" t="s">
        <v>32</v>
      </c>
      <c r="R15" s="31"/>
      <c r="S15" s="44" t="str">
        <f>IF(R15 = 5, 1, IF(R15 = 4, 0.75, IF(R15 = 3, 0.5, IF(R15 = 2, 0.25, IF(R15 = 1, 0.05, IF(R15 = "&lt;1%", 0.01, IF(R15 = "", "")))))))</f>
        <v/>
      </c>
      <c r="T15" s="31"/>
      <c r="U15" s="31"/>
      <c r="V15" s="29" t="s">
        <v>32</v>
      </c>
      <c r="W15" s="29"/>
      <c r="X15" s="44" t="str">
        <f>IF(W15 = 5, 1, IF(W15 = 4, 0.75, IF(W15 = 3, 0.5, IF(W15 = 2, 0.25, IF(W15 = 1, 0.05, IF(W15 = "&lt;1%", 0.01, IF(W15 = "", "")))))))</f>
        <v/>
      </c>
      <c r="Y15" s="29"/>
      <c r="Z15" s="29"/>
      <c r="AA15" s="31" t="s">
        <v>32</v>
      </c>
      <c r="AB15" s="31"/>
      <c r="AC15" s="44" t="str">
        <f>IF(AB15 = 5, 1, IF(AB15 = 4, 0.75, IF(AB15 = 3, 0.5, IF(AB15 = 2, 0.25, IF(AB15 = 1, 0.05, IF(AB15 = "&lt;1%", 0.01, IF(AB15 = "", "")))))))</f>
        <v/>
      </c>
      <c r="AD15" s="31"/>
      <c r="AE15" s="31"/>
    </row>
    <row r="16" spans="1:31" x14ac:dyDescent="0.2">
      <c r="A16" s="2">
        <v>13</v>
      </c>
      <c r="B16" s="25" t="s">
        <v>193</v>
      </c>
      <c r="C16" s="25" t="s">
        <v>194</v>
      </c>
      <c r="D16" s="25" t="s">
        <v>151</v>
      </c>
      <c r="E16" s="25" t="s">
        <v>30</v>
      </c>
      <c r="F16" s="27" t="s">
        <v>32</v>
      </c>
      <c r="G16" s="31" t="s">
        <v>31</v>
      </c>
      <c r="H16" s="31">
        <v>1</v>
      </c>
      <c r="I16" s="44">
        <f>IF(H16 = 5, 1, IF(H16 = 4, 0.75, IF(H16 = 3, 0.5, IF(H16 = 2, 0.25, IF(H16 = 1, 0.05, IF(H16 = "&lt;1%", 0.01, IF(H16 = "", "")))))))</f>
        <v>0.05</v>
      </c>
      <c r="J16" s="31" t="s">
        <v>195</v>
      </c>
      <c r="K16" s="31" t="s">
        <v>46</v>
      </c>
      <c r="L16" s="29" t="s">
        <v>32</v>
      </c>
      <c r="M16" s="29"/>
      <c r="N16" s="44" t="str">
        <f>IF(M16 = 5, 1, IF(M16 = 4, 0.75, IF(M16 = 3, 0.5, IF(M16 = 2, 0.25, IF(M16 = 1, 0.05, IF(M16 = "&lt;1%", 0.01, IF(M16 = "", "")))))))</f>
        <v/>
      </c>
      <c r="O16" s="29"/>
      <c r="P16" s="29"/>
      <c r="Q16" s="31" t="s">
        <v>31</v>
      </c>
      <c r="R16" s="31">
        <v>1</v>
      </c>
      <c r="S16" s="44">
        <f>IF(R16 = 5, 1, IF(R16 = 4, 0.75, IF(R16 = 3, 0.5, IF(R16 = 2, 0.25, IF(R16 = 1, 0.05, IF(R16 = "&lt;1%", 0.01, IF(R16 = "", "")))))))</f>
        <v>0.05</v>
      </c>
      <c r="T16" s="31" t="s">
        <v>195</v>
      </c>
      <c r="U16" s="31" t="s">
        <v>196</v>
      </c>
      <c r="V16" s="29" t="s">
        <v>32</v>
      </c>
      <c r="W16" s="29"/>
      <c r="X16" s="44" t="str">
        <f>IF(W16 = 5, 1, IF(W16 = 4, 0.75, IF(W16 = 3, 0.5, IF(W16 = 2, 0.25, IF(W16 = 1, 0.05, IF(W16 = "&lt;1%", 0.01, IF(W16 = "", "")))))))</f>
        <v/>
      </c>
      <c r="Y16" s="29"/>
      <c r="Z16" s="29"/>
      <c r="AA16" s="31" t="s">
        <v>32</v>
      </c>
      <c r="AB16" s="31"/>
      <c r="AC16" s="44" t="str">
        <f>IF(AB16 = 5, 1, IF(AB16 = 4, 0.75, IF(AB16 = 3, 0.5, IF(AB16 = 2, 0.25, IF(AB16 = 1, 0.05, IF(AB16 = "&lt;1%", 0.01, IF(AB16 = "", "")))))))</f>
        <v/>
      </c>
      <c r="AD16" s="31"/>
      <c r="AE16" s="31"/>
    </row>
    <row r="17" spans="1:31" x14ac:dyDescent="0.2">
      <c r="A17" s="2">
        <v>14</v>
      </c>
      <c r="B17" s="25" t="s">
        <v>33</v>
      </c>
      <c r="C17" s="25" t="s">
        <v>34</v>
      </c>
      <c r="D17" s="25" t="s">
        <v>43</v>
      </c>
      <c r="E17" s="25" t="s">
        <v>30</v>
      </c>
      <c r="F17" s="27" t="s">
        <v>31</v>
      </c>
      <c r="G17" s="31" t="s">
        <v>31</v>
      </c>
      <c r="H17" s="31">
        <v>1</v>
      </c>
      <c r="I17" s="44">
        <f>IF(H17 = 5, 1, IF(H17 = 4, 0.75, IF(H17 = 3, 0.5, IF(H17 = 2, 0.25, IF(H17 = 1, 0.05, IF(H17 = "&lt;1%", 0.01, IF(H17 = "", "")))))))</f>
        <v>0.05</v>
      </c>
      <c r="J17" s="31" t="s">
        <v>195</v>
      </c>
      <c r="K17" s="31" t="s">
        <v>46</v>
      </c>
      <c r="L17" s="29" t="s">
        <v>31</v>
      </c>
      <c r="M17" s="29">
        <v>2</v>
      </c>
      <c r="N17" s="44">
        <f>IF(M17 = 5, 1, IF(M17 = 4, 0.75, IF(M17 = 3, 0.5, IF(M17 = 2, 0.25, IF(M17 = 1, 0.05, IF(M17 = "&lt;1%", 0.01, IF(M17 = "", "")))))))</f>
        <v>0.25</v>
      </c>
      <c r="O17" s="29" t="s">
        <v>202</v>
      </c>
      <c r="P17" s="29" t="s">
        <v>46</v>
      </c>
      <c r="Q17" s="31" t="s">
        <v>31</v>
      </c>
      <c r="R17" s="31">
        <v>1</v>
      </c>
      <c r="S17" s="44">
        <f>IF(R17 = 5, 1, IF(R17 = 4, 0.75, IF(R17 = 3, 0.5, IF(R17 = 2, 0.25, IF(R17 = 1, 0.05, IF(R17 = "&lt;1%", 0.01, IF(R17 = "", "")))))))</f>
        <v>0.05</v>
      </c>
      <c r="T17" s="31" t="s">
        <v>202</v>
      </c>
      <c r="U17" s="31" t="s">
        <v>46</v>
      </c>
      <c r="V17" s="29" t="s">
        <v>31</v>
      </c>
      <c r="W17" s="29">
        <v>2</v>
      </c>
      <c r="X17" s="44">
        <f>IF(W17 = 5, 1, IF(W17 = 4, 0.75, IF(W17 = 3, 0.5, IF(W17 = 2, 0.25, IF(W17 = 1, 0.05, IF(W17 = "&lt;1%", 0.01, IF(W17 = "", "")))))))</f>
        <v>0.25</v>
      </c>
      <c r="Y17" s="29" t="s">
        <v>202</v>
      </c>
      <c r="Z17" s="29" t="s">
        <v>46</v>
      </c>
      <c r="AA17" s="31" t="s">
        <v>31</v>
      </c>
      <c r="AB17" s="31">
        <v>1</v>
      </c>
      <c r="AC17" s="44">
        <f>IF(AB17 = 5, 1, IF(AB17 = 4, 0.75, IF(AB17 = 3, 0.5, IF(AB17 = 2, 0.25, IF(AB17 = 1, 0.05, IF(AB17 = "&lt;1%", 0.01, IF(AB17 = "", "")))))))</f>
        <v>0.05</v>
      </c>
      <c r="AD17" s="31" t="s">
        <v>202</v>
      </c>
      <c r="AE17" s="31" t="s">
        <v>46</v>
      </c>
    </row>
    <row r="18" spans="1:31" x14ac:dyDescent="0.2">
      <c r="A18" s="2">
        <v>15</v>
      </c>
      <c r="B18" s="25" t="s">
        <v>213</v>
      </c>
      <c r="C18" s="25" t="s">
        <v>214</v>
      </c>
      <c r="D18" s="25" t="s">
        <v>55</v>
      </c>
      <c r="E18" s="25" t="s">
        <v>30</v>
      </c>
      <c r="F18" s="27" t="s">
        <v>31</v>
      </c>
      <c r="G18" s="31" t="s">
        <v>32</v>
      </c>
      <c r="H18" s="31"/>
      <c r="I18" s="44" t="str">
        <f>IF(H18 = 5, 1, IF(H18 = 4, 0.75, IF(H18 = 3, 0.5, IF(H18 = 2, 0.25, IF(H18 = 1, 0.05, IF(H18 = "&lt;1%", 0.01, IF(H18 = "", "")))))))</f>
        <v/>
      </c>
      <c r="J18" s="31"/>
      <c r="K18" s="31"/>
      <c r="L18" s="29" t="s">
        <v>32</v>
      </c>
      <c r="M18" s="29"/>
      <c r="N18" s="44" t="str">
        <f>IF(M18 = 5, 1, IF(M18 = 4, 0.75, IF(M18 = 3, 0.5, IF(M18 = 2, 0.25, IF(M18 = 1, 0.05, IF(M18 = "&lt;1%", 0.01, IF(M18 = "", "")))))))</f>
        <v/>
      </c>
      <c r="O18" s="29"/>
      <c r="P18" s="29"/>
      <c r="Q18" s="31" t="s">
        <v>31</v>
      </c>
      <c r="R18" s="31">
        <v>1</v>
      </c>
      <c r="S18" s="44">
        <f>IF(R18 = 5, 1, IF(R18 = 4, 0.75, IF(R18 = 3, 0.5, IF(R18 = 2, 0.25, IF(R18 = 1, 0.05, IF(R18 = "&lt;1%", 0.01, IF(R18 = "", "")))))))</f>
        <v>0.05</v>
      </c>
      <c r="T18" s="31" t="s">
        <v>202</v>
      </c>
      <c r="U18" s="31" t="s">
        <v>46</v>
      </c>
      <c r="V18" s="29" t="s">
        <v>32</v>
      </c>
      <c r="W18" s="29"/>
      <c r="X18" s="44" t="str">
        <f>IF(W18 = 5, 1, IF(W18 = 4, 0.75, IF(W18 = 3, 0.5, IF(W18 = 2, 0.25, IF(W18 = 1, 0.05, IF(W18 = "&lt;1%", 0.01, IF(W18 = "", "")))))))</f>
        <v/>
      </c>
      <c r="Y18" s="29"/>
      <c r="Z18" s="29"/>
      <c r="AA18" s="31" t="s">
        <v>32</v>
      </c>
      <c r="AB18" s="31"/>
      <c r="AC18" s="44" t="str">
        <f>IF(AB18 = 5, 1, IF(AB18 = 4, 0.75, IF(AB18 = 3, 0.5, IF(AB18 = 2, 0.25, IF(AB18 = 1, 0.05, IF(AB18 = "&lt;1%", 0.01, IF(AB18 = "", "")))))))</f>
        <v/>
      </c>
      <c r="AD18" s="31"/>
      <c r="AE18" s="31"/>
    </row>
    <row r="19" spans="1:31" x14ac:dyDescent="0.2">
      <c r="A19" s="2">
        <v>16</v>
      </c>
      <c r="B19" s="25" t="s">
        <v>207</v>
      </c>
      <c r="C19" s="25" t="s">
        <v>208</v>
      </c>
      <c r="D19" s="25" t="s">
        <v>55</v>
      </c>
      <c r="E19" s="25" t="s">
        <v>30</v>
      </c>
      <c r="F19" s="27" t="s">
        <v>32</v>
      </c>
      <c r="G19" s="31" t="s">
        <v>32</v>
      </c>
      <c r="H19" s="31"/>
      <c r="I19" s="44" t="str">
        <f>IF(H19 = 5, 1, IF(H19 = 4, 0.75, IF(H19 = 3, 0.5, IF(H19 = 2, 0.25, IF(H19 = 1, 0.05, IF(H19 = "&lt;1%", 0.01, IF(H19 = "", "")))))))</f>
        <v/>
      </c>
      <c r="J19" s="31"/>
      <c r="K19" s="31"/>
      <c r="L19" s="29" t="s">
        <v>31</v>
      </c>
      <c r="M19" s="29">
        <v>1</v>
      </c>
      <c r="N19" s="44">
        <f>IF(M19 = 5, 1, IF(M19 = 4, 0.75, IF(M19 = 3, 0.5, IF(M19 = 2, 0.25, IF(M19 = 1, 0.05, IF(M19 = "&lt;1%", 0.01, IF(M19 = "", "")))))))</f>
        <v>0.05</v>
      </c>
      <c r="O19" s="29" t="s">
        <v>209</v>
      </c>
      <c r="P19" s="29" t="s">
        <v>46</v>
      </c>
      <c r="Q19" s="31" t="s">
        <v>32</v>
      </c>
      <c r="R19" s="31"/>
      <c r="S19" s="44" t="str">
        <f>IF(R19 = 5, 1, IF(R19 = 4, 0.75, IF(R19 = 3, 0.5, IF(R19 = 2, 0.25, IF(R19 = 1, 0.05, IF(R19 = "&lt;1%", 0.01, IF(R19 = "", "")))))))</f>
        <v/>
      </c>
      <c r="T19" s="31"/>
      <c r="U19" s="31"/>
      <c r="V19" s="29" t="s">
        <v>32</v>
      </c>
      <c r="W19" s="29"/>
      <c r="X19" s="44" t="str">
        <f>IF(W19 = 5, 1, IF(W19 = 4, 0.75, IF(W19 = 3, 0.5, IF(W19 = 2, 0.25, IF(W19 = 1, 0.05, IF(W19 = "&lt;1%", 0.01, IF(W19 = "", "")))))))</f>
        <v/>
      </c>
      <c r="Y19" s="29"/>
      <c r="Z19" s="29"/>
      <c r="AA19" s="31" t="s">
        <v>32</v>
      </c>
      <c r="AB19" s="31"/>
      <c r="AC19" s="44" t="str">
        <f>IF(AB19 = 5, 1, IF(AB19 = 4, 0.75, IF(AB19 = 3, 0.5, IF(AB19 = 2, 0.25, IF(AB19 = 1, 0.05, IF(AB19 = "&lt;1%", 0.01, IF(AB19 = "", "")))))))</f>
        <v/>
      </c>
      <c r="AD19" s="31"/>
      <c r="AE19" s="31"/>
    </row>
    <row r="20" spans="1:31" x14ac:dyDescent="0.2">
      <c r="A20" s="2">
        <v>17</v>
      </c>
      <c r="B20" s="25" t="s">
        <v>200</v>
      </c>
      <c r="C20" s="25" t="s">
        <v>201</v>
      </c>
      <c r="D20" s="25" t="s">
        <v>55</v>
      </c>
      <c r="E20" s="25" t="s">
        <v>30</v>
      </c>
      <c r="F20" s="27" t="s">
        <v>32</v>
      </c>
      <c r="G20" s="31" t="s">
        <v>31</v>
      </c>
      <c r="H20" s="31">
        <v>1</v>
      </c>
      <c r="I20" s="44">
        <f>IF(H20 = 5, 1, IF(H20 = 4, 0.75, IF(H20 = 3, 0.5, IF(H20 = 2, 0.25, IF(H20 = 1, 0.05, IF(H20 = "&lt;1%", 0.01, IF(H20 = "", "")))))))</f>
        <v>0.05</v>
      </c>
      <c r="J20" s="31" t="s">
        <v>199</v>
      </c>
      <c r="K20" s="31" t="s">
        <v>196</v>
      </c>
      <c r="L20" s="29" t="s">
        <v>32</v>
      </c>
      <c r="M20" s="29"/>
      <c r="N20" s="44" t="str">
        <f>IF(M20 = 5, 1, IF(M20 = 4, 0.75, IF(M20 = 3, 0.5, IF(M20 = 2, 0.25, IF(M20 = 1, 0.05, IF(M20 = "&lt;1%", 0.01, IF(M20 = "", "")))))))</f>
        <v/>
      </c>
      <c r="O20" s="29"/>
      <c r="P20" s="29"/>
      <c r="Q20" s="31" t="s">
        <v>32</v>
      </c>
      <c r="R20" s="31"/>
      <c r="S20" s="44" t="str">
        <f>IF(R20 = 5, 1, IF(R20 = 4, 0.75, IF(R20 = 3, 0.5, IF(R20 = 2, 0.25, IF(R20 = 1, 0.05, IF(R20 = "&lt;1%", 0.01, IF(R20 = "", "")))))))</f>
        <v/>
      </c>
      <c r="T20" s="31"/>
      <c r="U20" s="31"/>
      <c r="V20" s="29" t="s">
        <v>32</v>
      </c>
      <c r="W20" s="29"/>
      <c r="X20" s="44" t="str">
        <f>IF(W20 = 5, 1, IF(W20 = 4, 0.75, IF(W20 = 3, 0.5, IF(W20 = 2, 0.25, IF(W20 = 1, 0.05, IF(W20 = "&lt;1%", 0.01, IF(W20 = "", "")))))))</f>
        <v/>
      </c>
      <c r="Y20" s="29"/>
      <c r="Z20" s="29"/>
      <c r="AA20" s="31" t="s">
        <v>32</v>
      </c>
      <c r="AB20" s="31"/>
      <c r="AC20" s="44" t="str">
        <f>IF(AB20 = 5, 1, IF(AB20 = 4, 0.75, IF(AB20 = 3, 0.5, IF(AB20 = 2, 0.25, IF(AB20 = 1, 0.05, IF(AB20 = "&lt;1%", 0.01, IF(AB20 = "", "")))))))</f>
        <v/>
      </c>
      <c r="AD20" s="31"/>
      <c r="AE20" s="31"/>
    </row>
    <row r="21" spans="1:31" x14ac:dyDescent="0.2">
      <c r="A21" s="2">
        <v>18</v>
      </c>
      <c r="B21" s="25" t="s">
        <v>185</v>
      </c>
      <c r="C21" s="25" t="s">
        <v>186</v>
      </c>
      <c r="D21" s="25" t="s">
        <v>51</v>
      </c>
      <c r="E21" s="25" t="s">
        <v>30</v>
      </c>
      <c r="F21" s="27" t="s">
        <v>31</v>
      </c>
      <c r="G21" s="31" t="s">
        <v>31</v>
      </c>
      <c r="H21" s="31">
        <v>5</v>
      </c>
      <c r="I21" s="44">
        <f>IF(H21 = 5, 1, IF(H21 = 4, 0.75, IF(H21 = 3, 0.5, IF(H21 = 2, 0.25, IF(H21 = 1, 0.05, IF(H21 = "&lt;1%", 0.01, IF(H21 = "", "")))))))</f>
        <v>1</v>
      </c>
      <c r="J21" s="31" t="s">
        <v>187</v>
      </c>
      <c r="K21" s="31" t="s">
        <v>46</v>
      </c>
      <c r="L21" s="29" t="s">
        <v>31</v>
      </c>
      <c r="M21" s="29">
        <v>5</v>
      </c>
      <c r="N21" s="44">
        <f>IF(M21 = 5, 1, IF(M21 = 4, 0.75, IF(M21 = 3, 0.5, IF(M21 = 2, 0.25, IF(M21 = 1, 0.05, IF(M21 = "&lt;1%", 0.01, IF(M21 = "", "")))))))</f>
        <v>1</v>
      </c>
      <c r="O21" s="29" t="s">
        <v>187</v>
      </c>
      <c r="P21" s="29" t="s">
        <v>46</v>
      </c>
      <c r="Q21" s="31" t="s">
        <v>31</v>
      </c>
      <c r="R21" s="31">
        <v>4</v>
      </c>
      <c r="S21" s="44">
        <f>IF(R21 = 5, 1, IF(R21 = 4, 0.75, IF(R21 = 3, 0.5, IF(R21 = 2, 0.25, IF(R21 = 1, 0.05, IF(R21 = "&lt;1%", 0.01, IF(R21 = "", "")))))))</f>
        <v>0.75</v>
      </c>
      <c r="T21" s="31" t="s">
        <v>188</v>
      </c>
      <c r="U21" s="31" t="s">
        <v>46</v>
      </c>
      <c r="V21" s="29" t="s">
        <v>31</v>
      </c>
      <c r="W21" s="29">
        <v>5</v>
      </c>
      <c r="X21" s="44">
        <f>IF(W21 = 5, 1, IF(W21 = 4, 0.75, IF(W21 = 3, 0.5, IF(W21 = 2, 0.25, IF(W21 = 1, 0.05, IF(W21 = "&lt;1%", 0.01, IF(W21 = "", "")))))))</f>
        <v>1</v>
      </c>
      <c r="Y21" s="29" t="s">
        <v>188</v>
      </c>
      <c r="Z21" s="29" t="s">
        <v>46</v>
      </c>
      <c r="AA21" s="31" t="s">
        <v>31</v>
      </c>
      <c r="AB21" s="31">
        <v>5</v>
      </c>
      <c r="AC21" s="44">
        <f>IF(AB21 = 5, 1, IF(AB21 = 4, 0.75, IF(AB21 = 3, 0.5, IF(AB21 = 2, 0.25, IF(AB21 = 1, 0.05, IF(AB21 = "&lt;1%", 0.01, IF(AB21 = "", "")))))))</f>
        <v>1</v>
      </c>
      <c r="AD21" s="31" t="s">
        <v>188</v>
      </c>
      <c r="AE21" s="31" t="s">
        <v>46</v>
      </c>
    </row>
    <row r="22" spans="1:31" x14ac:dyDescent="0.2">
      <c r="A22" s="2">
        <v>19</v>
      </c>
      <c r="B22" s="25" t="s">
        <v>197</v>
      </c>
      <c r="C22" s="25" t="s">
        <v>198</v>
      </c>
      <c r="D22" s="25" t="s">
        <v>43</v>
      </c>
      <c r="E22" s="25" t="s">
        <v>30</v>
      </c>
      <c r="F22" s="27" t="s">
        <v>31</v>
      </c>
      <c r="G22" s="31" t="s">
        <v>31</v>
      </c>
      <c r="H22" s="31">
        <v>1</v>
      </c>
      <c r="I22" s="44">
        <f>IF(H22 = 5, 1, IF(H22 = 4, 0.75, IF(H22 = 3, 0.5, IF(H22 = 2, 0.25, IF(H22 = 1, 0.05, IF(H22 = "&lt;1%", 0.01, IF(H22 = "", "")))))))</f>
        <v>0.05</v>
      </c>
      <c r="J22" s="31" t="s">
        <v>199</v>
      </c>
      <c r="K22" s="31" t="s">
        <v>46</v>
      </c>
      <c r="L22" s="29" t="s">
        <v>31</v>
      </c>
      <c r="M22" s="29">
        <v>1</v>
      </c>
      <c r="N22" s="44">
        <f>IF(M22 = 5, 1, IF(M22 = 4, 0.75, IF(M22 = 3, 0.5, IF(M22 = 2, 0.25, IF(M22 = 1, 0.05, IF(M22 = "&lt;1%", 0.01, IF(M22 = "", "")))))))</f>
        <v>0.05</v>
      </c>
      <c r="O22" s="29" t="s">
        <v>199</v>
      </c>
      <c r="P22" s="29" t="s">
        <v>46</v>
      </c>
      <c r="Q22" s="31" t="s">
        <v>32</v>
      </c>
      <c r="R22" s="31"/>
      <c r="S22" s="44" t="str">
        <f>IF(R22 = 5, 1, IF(R22 = 4, 0.75, IF(R22 = 3, 0.5, IF(R22 = 2, 0.25, IF(R22 = 1, 0.05, IF(R22 = "&lt;1%", 0.01, IF(R22 = "", "")))))))</f>
        <v/>
      </c>
      <c r="T22" s="31"/>
      <c r="U22" s="31"/>
      <c r="V22" s="29" t="s">
        <v>31</v>
      </c>
      <c r="W22" s="29">
        <v>1</v>
      </c>
      <c r="X22" s="44">
        <f>IF(W22 = 5, 1, IF(W22 = 4, 0.75, IF(W22 = 3, 0.5, IF(W22 = 2, 0.25, IF(W22 = 1, 0.05, IF(W22 = "&lt;1%", 0.01, IF(W22 = "", "")))))))</f>
        <v>0.05</v>
      </c>
      <c r="Y22" s="29" t="s">
        <v>199</v>
      </c>
      <c r="Z22" s="29" t="s">
        <v>46</v>
      </c>
      <c r="AA22" s="31" t="s">
        <v>31</v>
      </c>
      <c r="AB22" s="31">
        <v>1</v>
      </c>
      <c r="AC22" s="44">
        <f>IF(AB22 = 5, 1, IF(AB22 = 4, 0.75, IF(AB22 = 3, 0.5, IF(AB22 = 2, 0.25, IF(AB22 = 1, 0.05, IF(AB22 = "&lt;1%", 0.01, IF(AB22 = "", "")))))))</f>
        <v>0.05</v>
      </c>
      <c r="AD22" s="31" t="s">
        <v>199</v>
      </c>
      <c r="AE22" s="31" t="s">
        <v>46</v>
      </c>
    </row>
    <row r="23" spans="1:31" x14ac:dyDescent="0.2">
      <c r="A23" s="2">
        <v>20</v>
      </c>
      <c r="B23" s="25" t="s">
        <v>210</v>
      </c>
      <c r="C23" s="25" t="s">
        <v>211</v>
      </c>
      <c r="D23" s="25" t="s">
        <v>55</v>
      </c>
      <c r="E23" s="25" t="s">
        <v>30</v>
      </c>
      <c r="F23" s="27" t="s">
        <v>32</v>
      </c>
      <c r="G23" s="31" t="s">
        <v>32</v>
      </c>
      <c r="H23" s="31"/>
      <c r="I23" s="44" t="str">
        <f>IF(H23 = 5, 1, IF(H23 = 4, 0.75, IF(H23 = 3, 0.5, IF(H23 = 2, 0.25, IF(H23 = 1, 0.05, IF(H23 = "&lt;1%", 0.01, IF(H23 = "", "")))))))</f>
        <v/>
      </c>
      <c r="J23" s="31"/>
      <c r="K23" s="31"/>
      <c r="L23" s="29" t="s">
        <v>31</v>
      </c>
      <c r="M23" s="29">
        <v>1</v>
      </c>
      <c r="N23" s="44">
        <f>IF(M23 = 5, 1, IF(M23 = 4, 0.75, IF(M23 = 3, 0.5, IF(M23 = 2, 0.25, IF(M23 = 1, 0.05, IF(M23 = "&lt;1%", 0.01, IF(M23 = "", "")))))))</f>
        <v>0.05</v>
      </c>
      <c r="O23" s="29" t="s">
        <v>212</v>
      </c>
      <c r="P23" s="29" t="s">
        <v>46</v>
      </c>
      <c r="Q23" s="31" t="s">
        <v>31</v>
      </c>
      <c r="R23" s="31">
        <v>1</v>
      </c>
      <c r="S23" s="44">
        <f>IF(R23 = 5, 1, IF(R23 = 4, 0.75, IF(R23 = 3, 0.5, IF(R23 = 2, 0.25, IF(R23 = 1, 0.05, IF(R23 = "&lt;1%", 0.01, IF(R23 = "", "")))))))</f>
        <v>0.05</v>
      </c>
      <c r="T23" s="31" t="s">
        <v>212</v>
      </c>
      <c r="U23" s="31" t="s">
        <v>46</v>
      </c>
      <c r="V23" s="29" t="s">
        <v>31</v>
      </c>
      <c r="W23" s="29">
        <v>2</v>
      </c>
      <c r="X23" s="44">
        <f>IF(W23 = 5, 1, IF(W23 = 4, 0.75, IF(W23 = 3, 0.5, IF(W23 = 2, 0.25, IF(W23 = 1, 0.05, IF(W23 = "&lt;1%", 0.01, IF(W23 = "", "")))))))</f>
        <v>0.25</v>
      </c>
      <c r="Y23" s="29" t="s">
        <v>212</v>
      </c>
      <c r="Z23" s="29" t="s">
        <v>46</v>
      </c>
      <c r="AA23" s="31" t="s">
        <v>32</v>
      </c>
      <c r="AB23" s="31"/>
      <c r="AC23" s="44" t="str">
        <f>IF(AB23 = 5, 1, IF(AB23 = 4, 0.75, IF(AB23 = 3, 0.5, IF(AB23 = 2, 0.25, IF(AB23 = 1, 0.05, IF(AB23 = "&lt;1%", 0.01, IF(AB23 = "", "")))))))</f>
        <v/>
      </c>
      <c r="AD23" s="31"/>
      <c r="AE23" s="31"/>
    </row>
    <row r="24" spans="1:31" x14ac:dyDescent="0.2">
      <c r="A24" s="2">
        <v>21</v>
      </c>
      <c r="B24" s="25" t="s">
        <v>189</v>
      </c>
      <c r="C24" s="25" t="s">
        <v>190</v>
      </c>
      <c r="D24" s="25" t="s">
        <v>151</v>
      </c>
      <c r="E24" s="25" t="s">
        <v>30</v>
      </c>
      <c r="F24" s="27" t="s">
        <v>31</v>
      </c>
      <c r="G24" s="31" t="s">
        <v>31</v>
      </c>
      <c r="H24" s="31">
        <v>1</v>
      </c>
      <c r="I24" s="44">
        <f>IF(H24 = 5, 1, IF(H24 = 4, 0.75, IF(H24 = 3, 0.5, IF(H24 = 2, 0.25, IF(H24 = 1, 0.05, IF(H24 = "&lt;1%", 0.01, IF(H24 = "", "")))))))</f>
        <v>0.05</v>
      </c>
      <c r="J24" s="31" t="s">
        <v>191</v>
      </c>
      <c r="K24" s="31" t="s">
        <v>63</v>
      </c>
      <c r="L24" s="29" t="s">
        <v>31</v>
      </c>
      <c r="M24" s="29">
        <v>1</v>
      </c>
      <c r="N24" s="44">
        <f>IF(M24 = 5, 1, IF(M24 = 4, 0.75, IF(M24 = 3, 0.5, IF(M24 = 2, 0.25, IF(M24 = 1, 0.05, IF(M24 = "&lt;1%", 0.01, IF(M24 = "", "")))))))</f>
        <v>0.05</v>
      </c>
      <c r="O24" s="29" t="s">
        <v>191</v>
      </c>
      <c r="P24" s="29" t="s">
        <v>63</v>
      </c>
      <c r="Q24" s="31" t="s">
        <v>31</v>
      </c>
      <c r="R24" s="31">
        <v>1</v>
      </c>
      <c r="S24" s="44">
        <f>IF(R24 = 5, 1, IF(R24 = 4, 0.75, IF(R24 = 3, 0.5, IF(R24 = 2, 0.25, IF(R24 = 1, 0.05, IF(R24 = "&lt;1%", 0.01, IF(R24 = "", "")))))))</f>
        <v>0.05</v>
      </c>
      <c r="T24" s="31" t="s">
        <v>191</v>
      </c>
      <c r="U24" s="31" t="s">
        <v>63</v>
      </c>
      <c r="V24" s="29" t="s">
        <v>31</v>
      </c>
      <c r="W24" s="29">
        <v>1</v>
      </c>
      <c r="X24" s="44">
        <f>IF(W24 = 5, 1, IF(W24 = 4, 0.75, IF(W24 = 3, 0.5, IF(W24 = 2, 0.25, IF(W24 = 1, 0.05, IF(W24 = "&lt;1%", 0.01, IF(W24 = "", "")))))))</f>
        <v>0.05</v>
      </c>
      <c r="Y24" s="29" t="s">
        <v>191</v>
      </c>
      <c r="Z24" s="29" t="s">
        <v>63</v>
      </c>
      <c r="AA24" s="31" t="s">
        <v>31</v>
      </c>
      <c r="AB24" s="31">
        <v>1</v>
      </c>
      <c r="AC24" s="44">
        <f>IF(AB24 = 5, 1, IF(AB24 = 4, 0.75, IF(AB24 = 3, 0.5, IF(AB24 = 2, 0.25, IF(AB24 = 1, 0.05, IF(AB24 = "&lt;1%", 0.01, IF(AB24 = "", "")))))))</f>
        <v>0.05</v>
      </c>
      <c r="AD24" s="31" t="s">
        <v>192</v>
      </c>
      <c r="AE24" s="31" t="s">
        <v>63</v>
      </c>
    </row>
    <row r="25" spans="1:31" x14ac:dyDescent="0.2">
      <c r="A25" s="2">
        <v>22</v>
      </c>
      <c r="B25" s="25" t="s">
        <v>33</v>
      </c>
      <c r="C25" s="25" t="s">
        <v>34</v>
      </c>
      <c r="D25" s="25" t="s">
        <v>29</v>
      </c>
      <c r="E25" s="25" t="s">
        <v>35</v>
      </c>
      <c r="F25" s="27" t="s">
        <v>31</v>
      </c>
      <c r="G25" s="31" t="s">
        <v>31</v>
      </c>
      <c r="H25" s="31">
        <v>5</v>
      </c>
      <c r="I25" s="44">
        <f>IF(H25 = 5, 1, IF(H25 = 4, 0.75, IF(H25 = 3, 0.5, IF(H25 = 2, 0.25, IF(H25 = 1, 0.05, IF(H25 = "&lt;1%", 0.01, IF(H25 = "", "")))))))</f>
        <v>1</v>
      </c>
      <c r="J25" s="31">
        <v>5</v>
      </c>
      <c r="K25" s="31"/>
      <c r="L25" s="29" t="s">
        <v>31</v>
      </c>
      <c r="M25" s="29">
        <v>4</v>
      </c>
      <c r="N25" s="44">
        <f>IF(M25 = 5, 1, IF(M25 = 4, 0.75, IF(M25 = 3, 0.5, IF(M25 = 2, 0.25, IF(M25 = 1, 0.05, IF(M25 = "&lt;1%", 0.01, IF(M25 = "", "")))))))</f>
        <v>0.75</v>
      </c>
      <c r="O25" s="29"/>
      <c r="P25" s="29"/>
      <c r="Q25" s="31" t="s">
        <v>31</v>
      </c>
      <c r="R25" s="31">
        <v>4</v>
      </c>
      <c r="S25" s="44">
        <f>IF(R25 = 5, 1, IF(R25 = 4, 0.75, IF(R25 = 3, 0.5, IF(R25 = 2, 0.25, IF(R25 = 1, 0.05, IF(R25 = "&lt;1%", 0.01, IF(R25 = "", "")))))))</f>
        <v>0.75</v>
      </c>
      <c r="T25" s="31"/>
      <c r="U25" s="31"/>
      <c r="V25" s="29" t="s">
        <v>32</v>
      </c>
      <c r="W25" s="29"/>
      <c r="X25" s="44" t="str">
        <f>IF(W25 = 5, 1, IF(W25 = 4, 0.75, IF(W25 = 3, 0.5, IF(W25 = 2, 0.25, IF(W25 = 1, 0.05, IF(W25 = "&lt;1%", 0.01, IF(W25 = "", "")))))))</f>
        <v/>
      </c>
      <c r="Y25" s="29"/>
      <c r="Z25" s="29"/>
      <c r="AA25" s="31" t="s">
        <v>31</v>
      </c>
      <c r="AB25" s="31">
        <v>3</v>
      </c>
      <c r="AC25" s="44">
        <f>IF(AB25 = 5, 1, IF(AB25 = 4, 0.75, IF(AB25 = 3, 0.5, IF(AB25 = 2, 0.25, IF(AB25 = 1, 0.05, IF(AB25 = "&lt;1%", 0.01, IF(AB25 = "", "")))))))</f>
        <v>0.5</v>
      </c>
      <c r="AD25" s="31"/>
      <c r="AE25" s="31"/>
    </row>
    <row r="26" spans="1:31" x14ac:dyDescent="0.2">
      <c r="A26" s="2">
        <v>23</v>
      </c>
      <c r="B26" s="25" t="s">
        <v>27</v>
      </c>
      <c r="C26" s="25" t="s">
        <v>36</v>
      </c>
      <c r="D26" s="25" t="s">
        <v>37</v>
      </c>
      <c r="E26" s="25" t="s">
        <v>35</v>
      </c>
      <c r="F26" s="27" t="s">
        <v>32</v>
      </c>
      <c r="G26" s="31" t="s">
        <v>31</v>
      </c>
      <c r="H26" s="31">
        <v>1</v>
      </c>
      <c r="I26" s="44">
        <f>IF(H26 = 5, 1, IF(H26 = 4, 0.75, IF(H26 = 3, 0.5, IF(H26 = 2, 0.25, IF(H26 = 1, 0.05, IF(H26 = "&lt;1%", 0.01, IF(H26 = "", "")))))))</f>
        <v>0.05</v>
      </c>
      <c r="J26" s="31" t="s">
        <v>38</v>
      </c>
      <c r="K26" s="31">
        <v>64</v>
      </c>
      <c r="L26" s="29" t="s">
        <v>32</v>
      </c>
      <c r="M26" s="29"/>
      <c r="N26" s="44" t="str">
        <f>IF(M26 = 5, 1, IF(M26 = 4, 0.75, IF(M26 = 3, 0.5, IF(M26 = 2, 0.25, IF(M26 = 1, 0.05, IF(M26 = "&lt;1%", 0.01, IF(M26 = "", "")))))))</f>
        <v/>
      </c>
      <c r="O26" s="29"/>
      <c r="P26" s="29"/>
      <c r="Q26" s="31" t="s">
        <v>31</v>
      </c>
      <c r="R26" s="31"/>
      <c r="S26" s="44" t="str">
        <f>IF(R26 = 5, 1, IF(R26 = 4, 0.75, IF(R26 = 3, 0.5, IF(R26 = 2, 0.25, IF(R26 = 1, 0.05, IF(R26 = "&lt;1%", 0.01, IF(R26 = "", "")))))))</f>
        <v/>
      </c>
      <c r="T26" s="31"/>
      <c r="U26" s="31"/>
      <c r="V26" s="29" t="s">
        <v>31</v>
      </c>
      <c r="W26" s="29">
        <v>1</v>
      </c>
      <c r="X26" s="44">
        <f>IF(W26 = 5, 1, IF(W26 = 4, 0.75, IF(W26 = 3, 0.5, IF(W26 = 2, 0.25, IF(W26 = 1, 0.05, IF(W26 = "&lt;1%", 0.01, IF(W26 = "", "")))))))</f>
        <v>0.05</v>
      </c>
      <c r="Y26" s="29" t="s">
        <v>39</v>
      </c>
      <c r="Z26" s="29"/>
      <c r="AA26" s="31" t="s">
        <v>31</v>
      </c>
      <c r="AB26" s="31">
        <v>1</v>
      </c>
      <c r="AC26" s="44">
        <f>IF(AB26 = 5, 1, IF(AB26 = 4, 0.75, IF(AB26 = 3, 0.5, IF(AB26 = 2, 0.25, IF(AB26 = 1, 0.05, IF(AB26 = "&lt;1%", 0.01, IF(AB26 = "", "")))))))</f>
        <v>0.05</v>
      </c>
      <c r="AD26" s="31" t="s">
        <v>40</v>
      </c>
      <c r="AE26" s="31"/>
    </row>
    <row r="27" spans="1:31" x14ac:dyDescent="0.2">
      <c r="A27" s="2">
        <v>24</v>
      </c>
      <c r="B27" s="25" t="s">
        <v>57</v>
      </c>
      <c r="C27" s="25" t="s">
        <v>58</v>
      </c>
      <c r="D27" s="25" t="s">
        <v>43</v>
      </c>
      <c r="E27" s="25" t="s">
        <v>44</v>
      </c>
      <c r="F27" s="27" t="s">
        <v>32</v>
      </c>
      <c r="G27" s="31" t="s">
        <v>32</v>
      </c>
      <c r="H27" s="31"/>
      <c r="I27" s="44" t="str">
        <f>IF(H27 = 5, 1, IF(H27 = 4, 0.75, IF(H27 = 3, 0.5, IF(H27 = 2, 0.25, IF(H27 = 1, 0.05, IF(H27 = "&lt;1%", 0.01, IF(H27 = "", "")))))))</f>
        <v/>
      </c>
      <c r="J27" s="31"/>
      <c r="K27" s="31"/>
      <c r="L27" s="29" t="s">
        <v>32</v>
      </c>
      <c r="M27" s="29"/>
      <c r="N27" s="44" t="str">
        <f>IF(M27 = 5, 1, IF(M27 = 4, 0.75, IF(M27 = 3, 0.5, IF(M27 = 2, 0.25, IF(M27 = 1, 0.05, IF(M27 = "&lt;1%", 0.01, IF(M27 = "", "")))))))</f>
        <v/>
      </c>
      <c r="O27" s="29"/>
      <c r="P27" s="29"/>
      <c r="Q27" s="31" t="s">
        <v>32</v>
      </c>
      <c r="R27" s="31"/>
      <c r="S27" s="44" t="str">
        <f>IF(R27 = 5, 1, IF(R27 = 4, 0.75, IF(R27 = 3, 0.5, IF(R27 = 2, 0.25, IF(R27 = 1, 0.05, IF(R27 = "&lt;1%", 0.01, IF(R27 = "", "")))))))</f>
        <v/>
      </c>
      <c r="T27" s="31"/>
      <c r="U27" s="31"/>
      <c r="V27" s="29" t="s">
        <v>31</v>
      </c>
      <c r="W27" s="29">
        <v>0</v>
      </c>
      <c r="X27" s="44">
        <v>0.01</v>
      </c>
      <c r="Y27" s="29" t="s">
        <v>59</v>
      </c>
      <c r="Z27" s="29" t="s">
        <v>46</v>
      </c>
      <c r="AA27" s="31" t="s">
        <v>31</v>
      </c>
      <c r="AB27" s="31">
        <v>1</v>
      </c>
      <c r="AC27" s="44">
        <f>IF(AB27 = 5, 1, IF(AB27 = 4, 0.75, IF(AB27 = 3, 0.5, IF(AB27 = 2, 0.25, IF(AB27 = 1, 0.05, IF(AB27 = "&lt;1%", 0.01, IF(AB27 = "", "")))))))</f>
        <v>0.05</v>
      </c>
      <c r="AD27" s="31"/>
      <c r="AE27" s="31"/>
    </row>
    <row r="28" spans="1:31" x14ac:dyDescent="0.2">
      <c r="A28" s="2">
        <v>25</v>
      </c>
      <c r="B28" s="25" t="s">
        <v>53</v>
      </c>
      <c r="C28" s="25" t="s">
        <v>54</v>
      </c>
      <c r="D28" s="25" t="s">
        <v>55</v>
      </c>
      <c r="E28" s="25" t="s">
        <v>44</v>
      </c>
      <c r="F28" s="27" t="s">
        <v>32</v>
      </c>
      <c r="G28" s="31" t="s">
        <v>32</v>
      </c>
      <c r="H28" s="31"/>
      <c r="I28" s="44" t="str">
        <f>IF(H28 = 5, 1, IF(H28 = 4, 0.75, IF(H28 = 3, 0.5, IF(H28 = 2, 0.25, IF(H28 = 1, 0.05, IF(H28 = "&lt;1%", 0.01, IF(H28 = "", "")))))))</f>
        <v/>
      </c>
      <c r="J28" s="31"/>
      <c r="K28" s="31"/>
      <c r="L28" s="29" t="s">
        <v>32</v>
      </c>
      <c r="M28" s="29"/>
      <c r="N28" s="44" t="str">
        <f>IF(M28 = 5, 1, IF(M28 = 4, 0.75, IF(M28 = 3, 0.5, IF(M28 = 2, 0.25, IF(M28 = 1, 0.05, IF(M28 = "&lt;1%", 0.01, IF(M28 = "", "")))))))</f>
        <v/>
      </c>
      <c r="O28" s="29"/>
      <c r="P28" s="29"/>
      <c r="Q28" s="31" t="s">
        <v>31</v>
      </c>
      <c r="R28" s="31">
        <v>1</v>
      </c>
      <c r="S28" s="44">
        <f>IF(R28 = 5, 1, IF(R28 = 4, 0.75, IF(R28 = 3, 0.5, IF(R28 = 2, 0.25, IF(R28 = 1, 0.05, IF(R28 = "&lt;1%", 0.01, IF(R28 = "", "")))))))</f>
        <v>0.05</v>
      </c>
      <c r="T28" s="31"/>
      <c r="U28" s="31"/>
      <c r="V28" s="29" t="s">
        <v>31</v>
      </c>
      <c r="W28" s="29">
        <v>5</v>
      </c>
      <c r="X28" s="44">
        <f>IF(W28 = 5, 1, IF(W28 = 4, 0.75, IF(W28 = 3, 0.5, IF(W28 = 2, 0.25, IF(W28 = 1, 0.05, IF(W28 = "&lt;1%", 0.01, IF(W28 = "", "")))))))</f>
        <v>1</v>
      </c>
      <c r="Y28" s="29"/>
      <c r="Z28" s="29"/>
      <c r="AA28" s="31" t="s">
        <v>31</v>
      </c>
      <c r="AB28" s="31">
        <v>1</v>
      </c>
      <c r="AC28" s="44">
        <f>IF(AB28 = 5, 1, IF(AB28 = 4, 0.75, IF(AB28 = 3, 0.5, IF(AB28 = 2, 0.25, IF(AB28 = 1, 0.05, IF(AB28 = "&lt;1%", 0.01, IF(AB28 = "", "")))))))</f>
        <v>0.05</v>
      </c>
      <c r="AD28" s="31" t="s">
        <v>56</v>
      </c>
      <c r="AE28" s="31"/>
    </row>
    <row r="29" spans="1:31" x14ac:dyDescent="0.2">
      <c r="A29" s="2">
        <v>26</v>
      </c>
      <c r="B29" s="25" t="s">
        <v>41</v>
      </c>
      <c r="C29" s="25" t="s">
        <v>42</v>
      </c>
      <c r="D29" s="25" t="s">
        <v>43</v>
      </c>
      <c r="E29" s="25" t="s">
        <v>44</v>
      </c>
      <c r="F29" s="27" t="s">
        <v>32</v>
      </c>
      <c r="G29" s="31" t="s">
        <v>31</v>
      </c>
      <c r="H29" s="31">
        <v>4</v>
      </c>
      <c r="I29" s="44">
        <f>IF(H29 = 5, 1, IF(H29 = 4, 0.75, IF(H29 = 3, 0.5, IF(H29 = 2, 0.25, IF(H29 = 1, 0.05, IF(H29 = "&lt;1%", 0.01, IF(H29 = "", "")))))))</f>
        <v>0.75</v>
      </c>
      <c r="J29" s="31" t="s">
        <v>45</v>
      </c>
      <c r="K29" s="31" t="s">
        <v>46</v>
      </c>
      <c r="L29" s="29" t="s">
        <v>31</v>
      </c>
      <c r="M29" s="29">
        <v>3</v>
      </c>
      <c r="N29" s="44">
        <f>IF(M29 = 5, 1, IF(M29 = 4, 0.75, IF(M29 = 3, 0.5, IF(M29 = 2, 0.25, IF(M29 = 1, 0.05, IF(M29 = "&lt;1%", 0.01, IF(M29 = "", "")))))))</f>
        <v>0.5</v>
      </c>
      <c r="O29" s="29"/>
      <c r="P29" s="29"/>
      <c r="Q29" s="31" t="s">
        <v>31</v>
      </c>
      <c r="R29" s="31">
        <v>4</v>
      </c>
      <c r="S29" s="44">
        <f>IF(R29 = 5, 1, IF(R29 = 4, 0.75, IF(R29 = 3, 0.5, IF(R29 = 2, 0.25, IF(R29 = 1, 0.05, IF(R29 = "&lt;1%", 0.01, IF(R29 = "", "")))))))</f>
        <v>0.75</v>
      </c>
      <c r="T29" s="31"/>
      <c r="U29" s="31"/>
      <c r="V29" s="29" t="s">
        <v>31</v>
      </c>
      <c r="W29" s="29">
        <v>4</v>
      </c>
      <c r="X29" s="44">
        <f>IF(W29 = 5, 1, IF(W29 = 4, 0.75, IF(W29 = 3, 0.5, IF(W29 = 2, 0.25, IF(W29 = 1, 0.05, IF(W29 = "&lt;1%", 0.01, IF(W29 = "", "")))))))</f>
        <v>0.75</v>
      </c>
      <c r="Y29" s="29"/>
      <c r="Z29" s="29"/>
      <c r="AA29" s="31" t="s">
        <v>31</v>
      </c>
      <c r="AB29" s="31">
        <v>3</v>
      </c>
      <c r="AC29" s="44">
        <f>IF(AB29 = 5, 1, IF(AB29 = 4, 0.75, IF(AB29 = 3, 0.5, IF(AB29 = 2, 0.25, IF(AB29 = 1, 0.05, IF(AB29 = "&lt;1%", 0.01, IF(AB29 = "", "")))))))</f>
        <v>0.5</v>
      </c>
      <c r="AD29" s="31"/>
      <c r="AE29" s="31"/>
    </row>
    <row r="30" spans="1:31" x14ac:dyDescent="0.2">
      <c r="A30" s="2">
        <v>27</v>
      </c>
      <c r="B30" s="25" t="s">
        <v>49</v>
      </c>
      <c r="C30" s="25" t="s">
        <v>50</v>
      </c>
      <c r="D30" s="25" t="s">
        <v>51</v>
      </c>
      <c r="E30" s="25" t="s">
        <v>44</v>
      </c>
      <c r="F30" s="27" t="s">
        <v>31</v>
      </c>
      <c r="G30" s="31" t="s">
        <v>31</v>
      </c>
      <c r="H30" s="31">
        <v>5</v>
      </c>
      <c r="I30" s="44">
        <f>IF(H30 = 5, 1, IF(H30 = 4, 0.75, IF(H30 = 3, 0.5, IF(H30 = 2, 0.25, IF(H30 = 1, 0.05, IF(H30 = "&lt;1%", 0.01, IF(H30 = "", "")))))))</f>
        <v>1</v>
      </c>
      <c r="J30" s="31"/>
      <c r="K30" s="31"/>
      <c r="L30" s="29" t="s">
        <v>31</v>
      </c>
      <c r="M30" s="29">
        <v>5</v>
      </c>
      <c r="N30" s="44">
        <f>IF(M30 = 5, 1, IF(M30 = 4, 0.75, IF(M30 = 3, 0.5, IF(M30 = 2, 0.25, IF(M30 = 1, 0.05, IF(M30 = "&lt;1%", 0.01, IF(M30 = "", "")))))))</f>
        <v>1</v>
      </c>
      <c r="O30" s="29"/>
      <c r="P30" s="29"/>
      <c r="Q30" s="31" t="s">
        <v>52</v>
      </c>
      <c r="R30" s="31">
        <v>5</v>
      </c>
      <c r="S30" s="44">
        <f>IF(R30 = 5, 1, IF(R30 = 4, 0.75, IF(R30 = 3, 0.5, IF(R30 = 2, 0.25, IF(R30 = 1, 0.05, IF(R30 = "&lt;1%", 0.01, IF(R30 = "", "")))))))</f>
        <v>1</v>
      </c>
      <c r="T30" s="31"/>
      <c r="U30" s="31"/>
      <c r="V30" s="29" t="s">
        <v>31</v>
      </c>
      <c r="W30" s="29">
        <v>5</v>
      </c>
      <c r="X30" s="44">
        <f>IF(W30 = 5, 1, IF(W30 = 4, 0.75, IF(W30 = 3, 0.5, IF(W30 = 2, 0.25, IF(W30 = 1, 0.05, IF(W30 = "&lt;1%", 0.01, IF(W30 = "", "")))))))</f>
        <v>1</v>
      </c>
      <c r="Y30" s="29"/>
      <c r="Z30" s="29"/>
      <c r="AA30" s="31" t="s">
        <v>31</v>
      </c>
      <c r="AB30" s="31">
        <v>5</v>
      </c>
      <c r="AC30" s="44">
        <f>IF(AB30 = 5, 1, IF(AB30 = 4, 0.75, IF(AB30 = 3, 0.5, IF(AB30 = 2, 0.25, IF(AB30 = 1, 0.05, IF(AB30 = "&lt;1%", 0.01, IF(AB30 = "", "")))))))</f>
        <v>1</v>
      </c>
      <c r="AD30" s="31"/>
      <c r="AE30" s="31"/>
    </row>
    <row r="31" spans="1:31" x14ac:dyDescent="0.2">
      <c r="A31" s="2">
        <v>28</v>
      </c>
      <c r="B31" s="25" t="s">
        <v>47</v>
      </c>
      <c r="C31" s="25" t="s">
        <v>48</v>
      </c>
      <c r="D31" s="25" t="s">
        <v>43</v>
      </c>
      <c r="E31" s="25" t="s">
        <v>44</v>
      </c>
      <c r="F31" s="27" t="s">
        <v>32</v>
      </c>
      <c r="G31" s="31" t="s">
        <v>31</v>
      </c>
      <c r="H31" s="31">
        <v>4</v>
      </c>
      <c r="I31" s="44">
        <f>IF(H31 = 5, 1, IF(H31 = 4, 0.75, IF(H31 = 3, 0.5, IF(H31 = 2, 0.25, IF(H31 = 1, 0.05, IF(H31 = "&lt;1%", 0.01, IF(H31 = "", "")))))))</f>
        <v>0.75</v>
      </c>
      <c r="J31" s="31"/>
      <c r="K31" s="31"/>
      <c r="L31" s="29" t="s">
        <v>31</v>
      </c>
      <c r="M31" s="29">
        <v>3</v>
      </c>
      <c r="N31" s="44">
        <f>IF(M31 = 5, 1, IF(M31 = 4, 0.75, IF(M31 = 3, 0.5, IF(M31 = 2, 0.25, IF(M31 = 1, 0.05, IF(M31 = "&lt;1%", 0.01, IF(M31 = "", "")))))))</f>
        <v>0.5</v>
      </c>
      <c r="O31" s="29"/>
      <c r="P31" s="29"/>
      <c r="Q31" s="31" t="s">
        <v>31</v>
      </c>
      <c r="R31" s="31">
        <v>4</v>
      </c>
      <c r="S31" s="44">
        <f>IF(R31 = 5, 1, IF(R31 = 4, 0.75, IF(R31 = 3, 0.5, IF(R31 = 2, 0.25, IF(R31 = 1, 0.05, IF(R31 = "&lt;1%", 0.01, IF(R31 = "", "")))))))</f>
        <v>0.75</v>
      </c>
      <c r="T31" s="31"/>
      <c r="U31" s="31"/>
      <c r="V31" s="29" t="s">
        <v>32</v>
      </c>
      <c r="W31" s="29"/>
      <c r="X31" s="44" t="str">
        <f>IF(W31 = 5, 1, IF(W31 = 4, 0.75, IF(W31 = 3, 0.5, IF(W31 = 2, 0.25, IF(W31 = 1, 0.05, IF(W31 = "&lt;1%", 0.01, IF(W31 = "", "")))))))</f>
        <v/>
      </c>
      <c r="Y31" s="29"/>
      <c r="Z31" s="29"/>
      <c r="AA31" s="31" t="s">
        <v>32</v>
      </c>
      <c r="AB31" s="31"/>
      <c r="AC31" s="44" t="str">
        <f>IF(AB31 = 5, 1, IF(AB31 = 4, 0.75, IF(AB31 = 3, 0.5, IF(AB31 = 2, 0.25, IF(AB31 = 1, 0.05, IF(AB31 = "&lt;1%", 0.01, IF(AB31 = "", "")))))))</f>
        <v/>
      </c>
      <c r="AD31" s="31"/>
      <c r="AE31" s="31"/>
    </row>
  </sheetData>
  <sortState xmlns:xlrd2="http://schemas.microsoft.com/office/spreadsheetml/2017/richdata2" ref="B4:AE31">
    <sortCondition ref="E4:E31"/>
  </sortState>
  <mergeCells count="6">
    <mergeCell ref="V1:Z1"/>
    <mergeCell ref="AA1:AE1"/>
    <mergeCell ref="B1:E1"/>
    <mergeCell ref="G1:K1"/>
    <mergeCell ref="L1:P1"/>
    <mergeCell ref="Q1:U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6CC32CB-2CCF-9D48-945E-A7EF2188120C}">
          <x14:formula1>
            <xm:f>Taxa!$A$4:$A$18</xm:f>
          </x14:formula1>
          <xm:sqref>D4:D31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AA3B5-2D48-DB4A-A8C2-C4F32F579D99}">
  <sheetPr>
    <tabColor theme="8" tint="0.39997558519241921"/>
  </sheetPr>
  <dimension ref="A1:AE45"/>
  <sheetViews>
    <sheetView zoomScale="95" zoomScaleNormal="190" workbookViewId="0">
      <pane ySplit="2" topLeftCell="A3" activePane="bottomLeft" state="frozen"/>
      <selection pane="bottomLeft" activeCell="F51" sqref="F51"/>
    </sheetView>
  </sheetViews>
  <sheetFormatPr baseColWidth="10" defaultColWidth="11.5" defaultRowHeight="16" x14ac:dyDescent="0.2"/>
  <cols>
    <col min="1" max="1" width="9.33203125" style="2" customWidth="1"/>
    <col min="2" max="2" width="20" customWidth="1"/>
    <col min="3" max="3" width="26.5" bestFit="1" customWidth="1"/>
    <col min="4" max="4" width="36.33203125" customWidth="1"/>
    <col min="5" max="5" width="28.6640625" bestFit="1" customWidth="1"/>
    <col min="6" max="6" width="26.5" style="2" customWidth="1"/>
    <col min="7" max="7" width="14.5" customWidth="1"/>
    <col min="9" max="9" width="10.6640625" customWidth="1"/>
    <col min="10" max="10" width="13.33203125" customWidth="1"/>
    <col min="12" max="12" width="14" bestFit="1" customWidth="1"/>
    <col min="13" max="16" width="14" customWidth="1"/>
    <col min="17" max="17" width="14" bestFit="1" customWidth="1"/>
    <col min="18" max="21" width="14" customWidth="1"/>
    <col min="22" max="22" width="14" bestFit="1" customWidth="1"/>
    <col min="23" max="26" width="14" customWidth="1"/>
    <col min="27" max="27" width="17.33203125" customWidth="1"/>
    <col min="28" max="28" width="13" customWidth="1"/>
    <col min="29" max="29" width="10" style="2" customWidth="1"/>
    <col min="30" max="30" width="13" customWidth="1"/>
  </cols>
  <sheetData>
    <row r="1" spans="1:31" ht="34" x14ac:dyDescent="0.2">
      <c r="B1" s="75" t="s">
        <v>0</v>
      </c>
      <c r="C1" s="75"/>
      <c r="D1" s="75"/>
      <c r="E1" s="75"/>
      <c r="F1" s="50" t="s">
        <v>1</v>
      </c>
      <c r="G1" s="74" t="s">
        <v>2</v>
      </c>
      <c r="H1" s="74"/>
      <c r="I1" s="74"/>
      <c r="J1" s="74"/>
      <c r="K1" s="74"/>
      <c r="L1" s="73" t="s">
        <v>3</v>
      </c>
      <c r="M1" s="73"/>
      <c r="N1" s="73"/>
      <c r="O1" s="73"/>
      <c r="P1" s="73"/>
      <c r="Q1" s="74" t="s">
        <v>4</v>
      </c>
      <c r="R1" s="74"/>
      <c r="S1" s="74"/>
      <c r="T1" s="74"/>
      <c r="U1" s="74"/>
      <c r="V1" s="73" t="s">
        <v>5</v>
      </c>
      <c r="W1" s="73"/>
      <c r="X1" s="73"/>
      <c r="Y1" s="73"/>
      <c r="Z1" s="73"/>
      <c r="AA1" s="74" t="s">
        <v>6</v>
      </c>
      <c r="AB1" s="74"/>
      <c r="AC1" s="74"/>
      <c r="AD1" s="74"/>
      <c r="AE1" s="74"/>
    </row>
    <row r="2" spans="1:31" s="23" customFormat="1" ht="68" x14ac:dyDescent="0.2">
      <c r="A2" s="22" t="s">
        <v>7</v>
      </c>
      <c r="B2" s="24" t="s">
        <v>8</v>
      </c>
      <c r="C2" s="24" t="s">
        <v>9</v>
      </c>
      <c r="D2" s="32" t="s">
        <v>10</v>
      </c>
      <c r="E2" s="24" t="s">
        <v>11</v>
      </c>
      <c r="F2" s="26" t="s">
        <v>12</v>
      </c>
      <c r="G2" s="30" t="s">
        <v>13</v>
      </c>
      <c r="H2" s="30" t="s">
        <v>14</v>
      </c>
      <c r="I2" s="43" t="s">
        <v>15</v>
      </c>
      <c r="J2" s="30" t="s">
        <v>16</v>
      </c>
      <c r="K2" s="30" t="s">
        <v>17</v>
      </c>
      <c r="L2" s="28" t="s">
        <v>18</v>
      </c>
      <c r="M2" s="28" t="s">
        <v>19</v>
      </c>
      <c r="N2" s="43" t="s">
        <v>15</v>
      </c>
      <c r="O2" s="28" t="s">
        <v>16</v>
      </c>
      <c r="P2" s="28" t="s">
        <v>17</v>
      </c>
      <c r="Q2" s="30" t="s">
        <v>20</v>
      </c>
      <c r="R2" s="30" t="s">
        <v>21</v>
      </c>
      <c r="S2" s="43" t="s">
        <v>15</v>
      </c>
      <c r="T2" s="30" t="s">
        <v>16</v>
      </c>
      <c r="U2" s="30" t="s">
        <v>17</v>
      </c>
      <c r="V2" s="28" t="s">
        <v>22</v>
      </c>
      <c r="W2" s="28" t="s">
        <v>23</v>
      </c>
      <c r="X2" s="43" t="s">
        <v>15</v>
      </c>
      <c r="Y2" s="28" t="s">
        <v>16</v>
      </c>
      <c r="Z2" s="28" t="s">
        <v>17</v>
      </c>
      <c r="AA2" s="30" t="s">
        <v>24</v>
      </c>
      <c r="AB2" s="30" t="s">
        <v>25</v>
      </c>
      <c r="AC2" s="43" t="s">
        <v>15</v>
      </c>
      <c r="AD2" s="30" t="s">
        <v>16</v>
      </c>
      <c r="AE2" s="30" t="s">
        <v>17</v>
      </c>
    </row>
    <row r="3" spans="1:31" s="49" customFormat="1" x14ac:dyDescent="0.2">
      <c r="A3" s="45" t="s">
        <v>26</v>
      </c>
      <c r="B3" s="46" t="s">
        <v>27</v>
      </c>
      <c r="C3" s="46" t="s">
        <v>28</v>
      </c>
      <c r="D3" s="46" t="s">
        <v>29</v>
      </c>
      <c r="E3" s="46" t="s">
        <v>30</v>
      </c>
      <c r="F3" s="47" t="s">
        <v>31</v>
      </c>
      <c r="G3" s="48" t="s">
        <v>31</v>
      </c>
      <c r="H3" s="48">
        <v>4</v>
      </c>
      <c r="I3" s="48">
        <f>IF(H3 = 5, 1, IF(H3 = 4, 0.75, IF(H3 = 3, 0.5, IF(H3 = 2, 0.25, IF(H3 = 1, 0.05, IF(H3 = "&lt;1%", 0.01, IF(H3 = "", "")))))))</f>
        <v>0.75</v>
      </c>
      <c r="J3" s="48">
        <v>1</v>
      </c>
      <c r="K3" s="48">
        <v>6</v>
      </c>
      <c r="L3" s="48" t="s">
        <v>31</v>
      </c>
      <c r="M3" s="48">
        <v>3</v>
      </c>
      <c r="N3" s="48">
        <f>IF(M3 = 5, 1, IF(M3 = 4, 0.75, IF(M3 = 3, 0.5, IF(M3 = 2, 0.25, IF(M3 = 1, 0.05, IF(M3 = "&lt;1%", 0.01, IF(M3 = "", "")))))))</f>
        <v>0.5</v>
      </c>
      <c r="O3" s="48">
        <v>1</v>
      </c>
      <c r="P3" s="48">
        <v>6</v>
      </c>
      <c r="Q3" s="48" t="s">
        <v>32</v>
      </c>
      <c r="R3" s="48"/>
      <c r="S3" s="48" t="str">
        <f>IF(R3 = 5, 1, IF(R3 = 4, 0.75, IF(R3 = 3, 0.5, IF(R3 = 2, 0.25, IF(R3 = 1, 0.05, IF(R3 = "&lt;1%", 0.01, IF(R3 = "", "")))))))</f>
        <v/>
      </c>
      <c r="T3" s="48"/>
      <c r="U3" s="48"/>
      <c r="V3" s="48" t="s">
        <v>32</v>
      </c>
      <c r="W3" s="48"/>
      <c r="X3" s="48" t="str">
        <f>IF(W3 = 5, 1, IF(W3 = 4, 0.75, IF(W3 = 3, 0.5, IF(W3 = 2, 0.25, IF(W3 = 1, 0.05, IF(W3 = "&lt;1%", 0.01, IF(W3 = "", "")))))))</f>
        <v/>
      </c>
      <c r="Y3" s="48"/>
      <c r="Z3" s="48"/>
      <c r="AA3" s="48" t="s">
        <v>31</v>
      </c>
      <c r="AB3" s="48">
        <v>5</v>
      </c>
      <c r="AC3" s="48">
        <f>IF(AB3 = 5, 1, IF(AB3 = 4, 0.75, IF(AB3 = 3, 0.5, IF(AB3 = 2, 0.25, IF(AB3 = 1, 0.05, IF(AB3 = "&lt;1%", 0.01, IF(AB3 = "", "")))))))</f>
        <v>1</v>
      </c>
      <c r="AD3" s="48">
        <v>1</v>
      </c>
      <c r="AE3" s="48">
        <v>6</v>
      </c>
    </row>
    <row r="4" spans="1:31" x14ac:dyDescent="0.2">
      <c r="A4" s="2">
        <v>1</v>
      </c>
      <c r="B4" s="25" t="s">
        <v>303</v>
      </c>
      <c r="C4" s="25" t="s">
        <v>242</v>
      </c>
      <c r="D4" s="25" t="s">
        <v>37</v>
      </c>
      <c r="E4" s="25" t="s">
        <v>129</v>
      </c>
      <c r="F4" s="27" t="s">
        <v>31</v>
      </c>
      <c r="G4" s="31" t="s">
        <v>266</v>
      </c>
      <c r="H4" s="31"/>
      <c r="I4" s="44" t="str">
        <f>IF(H4 = 5, 1, IF(H4 = 4, 0.75, IF(H4 = 3, 0.5, IF(H4 = 2, 0.25, IF(H4 = 1, 0.05, IF(H4 = "&lt;1%", 0.01, IF(H4 = "", "")))))))</f>
        <v/>
      </c>
      <c r="J4" s="31"/>
      <c r="K4" s="31"/>
      <c r="L4" s="29" t="s">
        <v>266</v>
      </c>
      <c r="M4" s="29"/>
      <c r="N4" s="44" t="str">
        <f>IF(M4 = 5, 1, IF(M4 = 4, 0.75, IF(M4 = 3, 0.5, IF(M4 = 2, 0.25, IF(M4 = 1, 0.05, IF(M4 = "&lt;1%", 0.01, IF(M4 = "", "")))))))</f>
        <v/>
      </c>
      <c r="O4" s="29"/>
      <c r="P4" s="29"/>
      <c r="Q4" s="31" t="s">
        <v>266</v>
      </c>
      <c r="R4" s="31"/>
      <c r="S4" s="44" t="str">
        <f>IF(R4 = 5, 1, IF(R4 = 4, 0.75, IF(R4 = 3, 0.5, IF(R4 = 2, 0.25, IF(R4 = 1, 0.05, IF(R4 = "&lt;1%", 0.01, IF(R4 = "", "")))))))</f>
        <v/>
      </c>
      <c r="T4" s="31"/>
      <c r="U4" s="31"/>
      <c r="V4" s="29"/>
      <c r="W4" s="29"/>
      <c r="X4" s="44" t="str">
        <f>IF(W4 = 5, 1, IF(W4 = 4, 0.75, IF(W4 = 3, 0.5, IF(W4 = 2, 0.25, IF(W4 = 1, 0.05, IF(W4 = "&lt;1%", 0.01, IF(W4 = "", "")))))))</f>
        <v/>
      </c>
      <c r="Y4" s="29"/>
      <c r="Z4" s="29"/>
      <c r="AA4" s="31" t="s">
        <v>52</v>
      </c>
      <c r="AB4" s="31">
        <v>1</v>
      </c>
      <c r="AC4" s="44">
        <f>IF(AB4 = 5, 1, IF(AB4 = 4, 0.75, IF(AB4 = 3, 0.5, IF(AB4 = 2, 0.25, IF(AB4 = 1, 0.05, IF(AB4 = "&lt;1%", 0.01, IF(AB4 = "", "")))))))</f>
        <v>0.05</v>
      </c>
      <c r="AD4" s="31" t="s">
        <v>304</v>
      </c>
      <c r="AE4" s="31">
        <v>400</v>
      </c>
    </row>
    <row r="5" spans="1:31" x14ac:dyDescent="0.2">
      <c r="A5" s="2">
        <v>2</v>
      </c>
      <c r="B5" s="25" t="s">
        <v>280</v>
      </c>
      <c r="C5" s="25" t="s">
        <v>281</v>
      </c>
      <c r="D5" s="25" t="s">
        <v>83</v>
      </c>
      <c r="E5" s="25" t="s">
        <v>129</v>
      </c>
      <c r="F5" s="27" t="s">
        <v>32</v>
      </c>
      <c r="G5" s="31" t="s">
        <v>266</v>
      </c>
      <c r="H5" s="31"/>
      <c r="I5" s="44" t="str">
        <f>IF(H5 = 5, 1, IF(H5 = 4, 0.75, IF(H5 = 3, 0.5, IF(H5 = 2, 0.25, IF(H5 = 1, 0.05, IF(H5 = "&lt;1%", 0.01, IF(H5 = "", "")))))))</f>
        <v/>
      </c>
      <c r="J5" s="31"/>
      <c r="K5" s="31"/>
      <c r="L5" s="29" t="s">
        <v>266</v>
      </c>
      <c r="M5" s="29"/>
      <c r="N5" s="44" t="str">
        <f>IF(M5 = 5, 1, IF(M5 = 4, 0.75, IF(M5 = 3, 0.5, IF(M5 = 2, 0.25, IF(M5 = 1, 0.05, IF(M5 = "&lt;1%", 0.01, IF(M5 = "", "")))))))</f>
        <v/>
      </c>
      <c r="O5" s="29"/>
      <c r="P5" s="29"/>
      <c r="Q5" s="31" t="s">
        <v>52</v>
      </c>
      <c r="R5" s="31">
        <v>2</v>
      </c>
      <c r="S5" s="44">
        <f>IF(R5 = 5, 1, IF(R5 = 4, 0.75, IF(R5 = 3, 0.5, IF(R5 = 2, 0.25, IF(R5 = 1, 0.05, IF(R5 = "&lt;1%", 0.01, IF(R5 = "", "")))))))</f>
        <v>0.25</v>
      </c>
      <c r="T5" s="31"/>
      <c r="U5" s="31">
        <v>2</v>
      </c>
      <c r="V5" s="29"/>
      <c r="W5" s="29"/>
      <c r="X5" s="44" t="str">
        <f>IF(W5 = 5, 1, IF(W5 = 4, 0.75, IF(W5 = 3, 0.5, IF(W5 = 2, 0.25, IF(W5 = 1, 0.05, IF(W5 = "&lt;1%", 0.01, IF(W5 = "", "")))))))</f>
        <v/>
      </c>
      <c r="Y5" s="29"/>
      <c r="Z5" s="29"/>
      <c r="AA5" s="31" t="s">
        <v>266</v>
      </c>
      <c r="AB5" s="31"/>
      <c r="AC5" s="44" t="str">
        <f>IF(AB5 = 5, 1, IF(AB5 = 4, 0.75, IF(AB5 = 3, 0.5, IF(AB5 = 2, 0.25, IF(AB5 = 1, 0.05, IF(AB5 = "&lt;1%", 0.01, IF(AB5 = "", "")))))))</f>
        <v/>
      </c>
      <c r="AD5" s="31"/>
      <c r="AE5" s="31"/>
    </row>
    <row r="6" spans="1:31" x14ac:dyDescent="0.2">
      <c r="A6" s="2">
        <v>3</v>
      </c>
      <c r="B6" s="25" t="s">
        <v>284</v>
      </c>
      <c r="C6" s="25" t="s">
        <v>285</v>
      </c>
      <c r="D6" s="25" t="s">
        <v>55</v>
      </c>
      <c r="E6" s="25" t="s">
        <v>129</v>
      </c>
      <c r="F6" s="27" t="s">
        <v>32</v>
      </c>
      <c r="G6" s="31" t="s">
        <v>266</v>
      </c>
      <c r="H6" s="31"/>
      <c r="I6" s="44" t="str">
        <f>IF(H6 = 5, 1, IF(H6 = 4, 0.75, IF(H6 = 3, 0.5, IF(H6 = 2, 0.25, IF(H6 = 1, 0.05, IF(H6 = "&lt;1%", 0.01, IF(H6 = "", "")))))))</f>
        <v/>
      </c>
      <c r="J6" s="31"/>
      <c r="K6" s="31"/>
      <c r="L6" s="29" t="s">
        <v>266</v>
      </c>
      <c r="M6" s="29"/>
      <c r="N6" s="44" t="str">
        <f>IF(M6 = 5, 1, IF(M6 = 4, 0.75, IF(M6 = 3, 0.5, IF(M6 = 2, 0.25, IF(M6 = 1, 0.05, IF(M6 = "&lt;1%", 0.01, IF(M6 = "", "")))))))</f>
        <v/>
      </c>
      <c r="O6" s="29"/>
      <c r="P6" s="29"/>
      <c r="Q6" s="31" t="s">
        <v>52</v>
      </c>
      <c r="R6" s="31">
        <v>1</v>
      </c>
      <c r="S6" s="44">
        <f>IF(R6 = 5, 1, IF(R6 = 4, 0.75, IF(R6 = 3, 0.5, IF(R6 = 2, 0.25, IF(R6 = 1, 0.05, IF(R6 = "&lt;1%", 0.01, IF(R6 = "", "")))))))</f>
        <v>0.05</v>
      </c>
      <c r="T6" s="31"/>
      <c r="U6" s="31">
        <v>1</v>
      </c>
      <c r="V6" s="29"/>
      <c r="W6" s="29"/>
      <c r="X6" s="44" t="str">
        <f>IF(W6 = 5, 1, IF(W6 = 4, 0.75, IF(W6 = 3, 0.5, IF(W6 = 2, 0.25, IF(W6 = 1, 0.05, IF(W6 = "&lt;1%", 0.01, IF(W6 = "", "")))))))</f>
        <v/>
      </c>
      <c r="Y6" s="29"/>
      <c r="Z6" s="29"/>
      <c r="AA6" s="31" t="s">
        <v>266</v>
      </c>
      <c r="AB6" s="31"/>
      <c r="AC6" s="44" t="str">
        <f>IF(AB6 = 5, 1, IF(AB6 = 4, 0.75, IF(AB6 = 3, 0.5, IF(AB6 = 2, 0.25, IF(AB6 = 1, 0.05, IF(AB6 = "&lt;1%", 0.01, IF(AB6 = "", "")))))))</f>
        <v/>
      </c>
      <c r="AD6" s="31"/>
      <c r="AE6" s="31"/>
    </row>
    <row r="7" spans="1:31" x14ac:dyDescent="0.2">
      <c r="A7" s="2">
        <v>4</v>
      </c>
      <c r="B7" s="25" t="s">
        <v>289</v>
      </c>
      <c r="C7" s="25" t="s">
        <v>290</v>
      </c>
      <c r="D7" s="25" t="s">
        <v>145</v>
      </c>
      <c r="E7" s="25" t="s">
        <v>129</v>
      </c>
      <c r="F7" s="27" t="s">
        <v>32</v>
      </c>
      <c r="G7" s="31" t="s">
        <v>266</v>
      </c>
      <c r="H7" s="31"/>
      <c r="I7" s="44" t="str">
        <f>IF(H7 = 5, 1, IF(H7 = 4, 0.75, IF(H7 = 3, 0.5, IF(H7 = 2, 0.25, IF(H7 = 1, 0.05, IF(H7 = "&lt;1%", 0.01, IF(H7 = "", "")))))))</f>
        <v/>
      </c>
      <c r="J7" s="31"/>
      <c r="K7" s="31"/>
      <c r="L7" s="29" t="s">
        <v>266</v>
      </c>
      <c r="M7" s="29"/>
      <c r="N7" s="44" t="str">
        <f>IF(M7 = 5, 1, IF(M7 = 4, 0.75, IF(M7 = 3, 0.5, IF(M7 = 2, 0.25, IF(M7 = 1, 0.05, IF(M7 = "&lt;1%", 0.01, IF(M7 = "", "")))))))</f>
        <v/>
      </c>
      <c r="O7" s="29"/>
      <c r="P7" s="29"/>
      <c r="Q7" s="31" t="s">
        <v>266</v>
      </c>
      <c r="R7" s="31"/>
      <c r="S7" s="44" t="str">
        <f>IF(R7 = 5, 1, IF(R7 = 4, 0.75, IF(R7 = 3, 0.5, IF(R7 = 2, 0.25, IF(R7 = 1, 0.05, IF(R7 = "&lt;1%", 0.01, IF(R7 = "", "")))))))</f>
        <v/>
      </c>
      <c r="T7" s="31"/>
      <c r="U7" s="31"/>
      <c r="V7" s="29"/>
      <c r="W7" s="29"/>
      <c r="X7" s="44" t="str">
        <f>IF(W7 = 5, 1, IF(W7 = 4, 0.75, IF(W7 = 3, 0.5, IF(W7 = 2, 0.25, IF(W7 = 1, 0.05, IF(W7 = "&lt;1%", 0.01, IF(W7 = "", "")))))))</f>
        <v/>
      </c>
      <c r="Y7" s="29"/>
      <c r="Z7" s="29"/>
      <c r="AA7" s="31" t="s">
        <v>52</v>
      </c>
      <c r="AB7" s="31"/>
      <c r="AC7" s="44" t="str">
        <f>IF(AB7 = 5, 1, IF(AB7 = 4, 0.75, IF(AB7 = 3, 0.5, IF(AB7 = 2, 0.25, IF(AB7 = 1, 0.05, IF(AB7 = "&lt;1%", 0.01, IF(AB7 = "", "")))))))</f>
        <v/>
      </c>
      <c r="AD7" s="31"/>
      <c r="AE7" s="31"/>
    </row>
    <row r="8" spans="1:31" x14ac:dyDescent="0.2">
      <c r="A8" s="2">
        <v>5</v>
      </c>
      <c r="B8" s="25" t="s">
        <v>239</v>
      </c>
      <c r="C8" s="25" t="s">
        <v>240</v>
      </c>
      <c r="D8" s="25" t="s">
        <v>55</v>
      </c>
      <c r="E8" s="25" t="s">
        <v>129</v>
      </c>
      <c r="F8" s="27" t="s">
        <v>31</v>
      </c>
      <c r="G8" s="31" t="s">
        <v>266</v>
      </c>
      <c r="H8" s="31"/>
      <c r="I8" s="44" t="str">
        <f>IF(H8 = 5, 1, IF(H8 = 4, 0.75, IF(H8 = 3, 0.5, IF(H8 = 2, 0.25, IF(H8 = 1, 0.05, IF(H8 = "&lt;1%", 0.01, IF(H8 = "", "")))))))</f>
        <v/>
      </c>
      <c r="J8" s="31"/>
      <c r="K8" s="31"/>
      <c r="L8" s="29" t="s">
        <v>266</v>
      </c>
      <c r="M8" s="29"/>
      <c r="N8" s="44" t="str">
        <f>IF(M8 = 5, 1, IF(M8 = 4, 0.75, IF(M8 = 3, 0.5, IF(M8 = 2, 0.25, IF(M8 = 1, 0.05, IF(M8 = "&lt;1%", 0.01, IF(M8 = "", "")))))))</f>
        <v/>
      </c>
      <c r="O8" s="29"/>
      <c r="P8" s="29"/>
      <c r="Q8" s="31" t="s">
        <v>266</v>
      </c>
      <c r="R8" s="31"/>
      <c r="S8" s="44" t="str">
        <f>IF(R8 = 5, 1, IF(R8 = 4, 0.75, IF(R8 = 3, 0.5, IF(R8 = 2, 0.25, IF(R8 = 1, 0.05, IF(R8 = "&lt;1%", 0.01, IF(R8 = "", "")))))))</f>
        <v/>
      </c>
      <c r="T8" s="31"/>
      <c r="U8" s="31"/>
      <c r="V8" s="29" t="s">
        <v>52</v>
      </c>
      <c r="W8" s="29">
        <v>1</v>
      </c>
      <c r="X8" s="44">
        <f>IF(W8 = 5, 1, IF(W8 = 4, 0.75, IF(W8 = 3, 0.5, IF(W8 = 2, 0.25, IF(W8 = 1, 0.05, IF(W8 = "&lt;1%", 0.01, IF(W8 = "", "")))))))</f>
        <v>0.05</v>
      </c>
      <c r="Y8" s="29"/>
      <c r="Z8" s="29">
        <v>2</v>
      </c>
      <c r="AA8" s="31" t="s">
        <v>52</v>
      </c>
      <c r="AB8" s="31">
        <v>1</v>
      </c>
      <c r="AC8" s="44">
        <f>IF(AB8 = 5, 1, IF(AB8 = 4, 0.75, IF(AB8 = 3, 0.5, IF(AB8 = 2, 0.25, IF(AB8 = 1, 0.05, IF(AB8 = "&lt;1%", 0.01, IF(AB8 = "", "")))))))</f>
        <v>0.05</v>
      </c>
      <c r="AD8" s="31"/>
      <c r="AE8" s="31">
        <v>3</v>
      </c>
    </row>
    <row r="9" spans="1:31" x14ac:dyDescent="0.2">
      <c r="A9" s="2">
        <v>6</v>
      </c>
      <c r="B9" s="25" t="s">
        <v>274</v>
      </c>
      <c r="C9" s="25" t="s">
        <v>275</v>
      </c>
      <c r="D9" s="25" t="s">
        <v>55</v>
      </c>
      <c r="E9" s="25" t="s">
        <v>129</v>
      </c>
      <c r="F9" s="27" t="s">
        <v>32</v>
      </c>
      <c r="G9" s="31" t="s">
        <v>52</v>
      </c>
      <c r="H9" s="31">
        <v>1</v>
      </c>
      <c r="I9" s="44">
        <f>IF(H9 = 5, 1, IF(H9 = 4, 0.75, IF(H9 = 3, 0.5, IF(H9 = 2, 0.25, IF(H9 = 1, 0.05, IF(H9 = "&lt;1%", 0.01, IF(H9 = "", "")))))))</f>
        <v>0.05</v>
      </c>
      <c r="J9" s="31"/>
      <c r="K9" s="31">
        <v>1</v>
      </c>
      <c r="L9" s="29" t="s">
        <v>52</v>
      </c>
      <c r="M9" s="29">
        <v>1</v>
      </c>
      <c r="N9" s="44">
        <f>IF(M9 = 5, 1, IF(M9 = 4, 0.75, IF(M9 = 3, 0.5, IF(M9 = 2, 0.25, IF(M9 = 1, 0.05, IF(M9 = "&lt;1%", 0.01, IF(M9 = "", "")))))))</f>
        <v>0.05</v>
      </c>
      <c r="O9" s="29"/>
      <c r="P9" s="29">
        <v>1</v>
      </c>
      <c r="Q9" s="31" t="s">
        <v>266</v>
      </c>
      <c r="R9" s="31"/>
      <c r="S9" s="44" t="str">
        <f>IF(R9 = 5, 1, IF(R9 = 4, 0.75, IF(R9 = 3, 0.5, IF(R9 = 2, 0.25, IF(R9 = 1, 0.05, IF(R9 = "&lt;1%", 0.01, IF(R9 = "", "")))))))</f>
        <v/>
      </c>
      <c r="T9" s="31"/>
      <c r="U9" s="31"/>
      <c r="V9" s="29"/>
      <c r="W9" s="29"/>
      <c r="X9" s="44" t="str">
        <f>IF(W9 = 5, 1, IF(W9 = 4, 0.75, IF(W9 = 3, 0.5, IF(W9 = 2, 0.25, IF(W9 = 1, 0.05, IF(W9 = "&lt;1%", 0.01, IF(W9 = "", "")))))))</f>
        <v/>
      </c>
      <c r="Y9" s="29"/>
      <c r="Z9" s="29"/>
      <c r="AA9" s="31" t="s">
        <v>266</v>
      </c>
      <c r="AB9" s="31"/>
      <c r="AC9" s="44" t="str">
        <f>IF(AB9 = 5, 1, IF(AB9 = 4, 0.75, IF(AB9 = 3, 0.5, IF(AB9 = 2, 0.25, IF(AB9 = 1, 0.05, IF(AB9 = "&lt;1%", 0.01, IF(AB9 = "", "")))))))</f>
        <v/>
      </c>
      <c r="AD9" s="31"/>
      <c r="AE9" s="31"/>
    </row>
    <row r="10" spans="1:31" x14ac:dyDescent="0.2">
      <c r="A10" s="2">
        <v>7</v>
      </c>
      <c r="B10" s="25" t="s">
        <v>299</v>
      </c>
      <c r="C10" s="25" t="s">
        <v>300</v>
      </c>
      <c r="D10" s="25" t="s">
        <v>37</v>
      </c>
      <c r="E10" s="25" t="s">
        <v>129</v>
      </c>
      <c r="F10" s="27" t="s">
        <v>31</v>
      </c>
      <c r="G10" s="31" t="s">
        <v>266</v>
      </c>
      <c r="H10" s="31"/>
      <c r="I10" s="44" t="str">
        <f>IF(H10 = 5, 1, IF(H10 = 4, 0.75, IF(H10 = 3, 0.5, IF(H10 = 2, 0.25, IF(H10 = 1, 0.05, IF(H10 = "&lt;1%", 0.01, IF(H10 = "", "")))))))</f>
        <v/>
      </c>
      <c r="J10" s="31"/>
      <c r="K10" s="31"/>
      <c r="L10" s="29" t="s">
        <v>52</v>
      </c>
      <c r="M10" s="29">
        <v>2</v>
      </c>
      <c r="N10" s="44">
        <f>IF(M10 = 5, 1, IF(M10 = 4, 0.75, IF(M10 = 3, 0.5, IF(M10 = 2, 0.25, IF(M10 = 1, 0.05, IF(M10 = "&lt;1%", 0.01, IF(M10 = "", "")))))))</f>
        <v>0.25</v>
      </c>
      <c r="O10" s="29"/>
      <c r="P10" s="29">
        <v>500</v>
      </c>
      <c r="Q10" s="31" t="s">
        <v>266</v>
      </c>
      <c r="R10" s="31"/>
      <c r="S10" s="44" t="str">
        <f>IF(R10 = 5, 1, IF(R10 = 4, 0.75, IF(R10 = 3, 0.5, IF(R10 = 2, 0.25, IF(R10 = 1, 0.05, IF(R10 = "&lt;1%", 0.01, IF(R10 = "", "")))))))</f>
        <v/>
      </c>
      <c r="T10" s="31"/>
      <c r="U10" s="31"/>
      <c r="V10" s="29"/>
      <c r="W10" s="29"/>
      <c r="X10" s="44" t="str">
        <f>IF(W10 = 5, 1, IF(W10 = 4, 0.75, IF(W10 = 3, 0.5, IF(W10 = 2, 0.25, IF(W10 = 1, 0.05, IF(W10 = "&lt;1%", 0.01, IF(W10 = "", "")))))))</f>
        <v/>
      </c>
      <c r="Y10" s="29"/>
      <c r="Z10" s="29"/>
      <c r="AA10" s="31" t="s">
        <v>266</v>
      </c>
      <c r="AB10" s="31"/>
      <c r="AC10" s="44" t="str">
        <f>IF(AB10 = 5, 1, IF(AB10 = 4, 0.75, IF(AB10 = 3, 0.5, IF(AB10 = 2, 0.25, IF(AB10 = 1, 0.05, IF(AB10 = "&lt;1%", 0.01, IF(AB10 = "", "")))))))</f>
        <v/>
      </c>
      <c r="AD10" s="31"/>
      <c r="AE10" s="31"/>
    </row>
    <row r="11" spans="1:31" x14ac:dyDescent="0.2">
      <c r="A11" s="2">
        <v>8</v>
      </c>
      <c r="B11" s="25" t="s">
        <v>276</v>
      </c>
      <c r="C11" s="25" t="s">
        <v>277</v>
      </c>
      <c r="D11" s="25" t="s">
        <v>55</v>
      </c>
      <c r="E11" s="25" t="s">
        <v>129</v>
      </c>
      <c r="F11" s="27" t="s">
        <v>32</v>
      </c>
      <c r="G11" s="31" t="s">
        <v>52</v>
      </c>
      <c r="H11" s="31">
        <v>1</v>
      </c>
      <c r="I11" s="44">
        <f>IF(H11 = 5, 1, IF(H11 = 4, 0.75, IF(H11 = 3, 0.5, IF(H11 = 2, 0.25, IF(H11 = 1, 0.05, IF(H11 = "&lt;1%", 0.01, IF(H11 = "", "")))))))</f>
        <v>0.05</v>
      </c>
      <c r="J11" s="31"/>
      <c r="K11" s="31">
        <v>1</v>
      </c>
      <c r="L11" s="29" t="s">
        <v>266</v>
      </c>
      <c r="M11" s="29"/>
      <c r="N11" s="44" t="str">
        <f>IF(M11 = 5, 1, IF(M11 = 4, 0.75, IF(M11 = 3, 0.5, IF(M11 = 2, 0.25, IF(M11 = 1, 0.05, IF(M11 = "&lt;1%", 0.01, IF(M11 = "", "")))))))</f>
        <v/>
      </c>
      <c r="O11" s="29"/>
      <c r="P11" s="29"/>
      <c r="Q11" s="31" t="s">
        <v>266</v>
      </c>
      <c r="R11" s="31"/>
      <c r="S11" s="44" t="str">
        <f>IF(R11 = 5, 1, IF(R11 = 4, 0.75, IF(R11 = 3, 0.5, IF(R11 = 2, 0.25, IF(R11 = 1, 0.05, IF(R11 = "&lt;1%", 0.01, IF(R11 = "", "")))))))</f>
        <v/>
      </c>
      <c r="T11" s="31"/>
      <c r="U11" s="31"/>
      <c r="V11" s="29"/>
      <c r="W11" s="29"/>
      <c r="X11" s="44" t="str">
        <f>IF(W11 = 5, 1, IF(W11 = 4, 0.75, IF(W11 = 3, 0.5, IF(W11 = 2, 0.25, IF(W11 = 1, 0.05, IF(W11 = "&lt;1%", 0.01, IF(W11 = "", "")))))))</f>
        <v/>
      </c>
      <c r="Y11" s="29"/>
      <c r="Z11" s="29"/>
      <c r="AA11" s="31" t="s">
        <v>266</v>
      </c>
      <c r="AB11" s="31"/>
      <c r="AC11" s="44" t="str">
        <f>IF(AB11 = 5, 1, IF(AB11 = 4, 0.75, IF(AB11 = 3, 0.5, IF(AB11 = 2, 0.25, IF(AB11 = 1, 0.05, IF(AB11 = "&lt;1%", 0.01, IF(AB11 = "", "")))))))</f>
        <v/>
      </c>
      <c r="AD11" s="31"/>
      <c r="AE11" s="31"/>
    </row>
    <row r="12" spans="1:31" x14ac:dyDescent="0.2">
      <c r="A12" s="2">
        <v>9</v>
      </c>
      <c r="B12" s="25" t="s">
        <v>305</v>
      </c>
      <c r="C12" s="25" t="s">
        <v>306</v>
      </c>
      <c r="D12" s="25" t="s">
        <v>145</v>
      </c>
      <c r="E12" s="25" t="s">
        <v>307</v>
      </c>
      <c r="F12" s="27" t="s">
        <v>32</v>
      </c>
      <c r="G12" s="31" t="s">
        <v>266</v>
      </c>
      <c r="H12" s="31"/>
      <c r="I12" s="44" t="str">
        <f>IF(H12 = 5, 1, IF(H12 = 4, 0.75, IF(H12 = 3, 0.5, IF(H12 = 2, 0.25, IF(H12 = 1, 0.05, IF(H12 = "&lt;1%", 0.01, IF(H12 = "", "")))))))</f>
        <v/>
      </c>
      <c r="J12" s="31"/>
      <c r="K12" s="31"/>
      <c r="L12" s="29"/>
      <c r="M12" s="29"/>
      <c r="N12" s="44" t="str">
        <f>IF(M12 = 5, 1, IF(M12 = 4, 0.75, IF(M12 = 3, 0.5, IF(M12 = 2, 0.25, IF(M12 = 1, 0.05, IF(M12 = "&lt;1%", 0.01, IF(M12 = "", "")))))))</f>
        <v/>
      </c>
      <c r="O12" s="29"/>
      <c r="P12" s="29"/>
      <c r="Q12" s="31"/>
      <c r="R12" s="31"/>
      <c r="S12" s="44" t="str">
        <f>IF(R12 = 5, 1, IF(R12 = 4, 0.75, IF(R12 = 3, 0.5, IF(R12 = 2, 0.25, IF(R12 = 1, 0.05, IF(R12 = "&lt;1%", 0.01, IF(R12 = "", "")))))))</f>
        <v/>
      </c>
      <c r="T12" s="31"/>
      <c r="U12" s="31"/>
      <c r="V12" s="29"/>
      <c r="W12" s="29"/>
      <c r="X12" s="44" t="str">
        <f>IF(W12 = 5, 1, IF(W12 = 4, 0.75, IF(W12 = 3, 0.5, IF(W12 = 2, 0.25, IF(W12 = 1, 0.05, IF(W12 = "&lt;1%", 0.01, IF(W12 = "", "")))))))</f>
        <v/>
      </c>
      <c r="Y12" s="29"/>
      <c r="Z12" s="29"/>
      <c r="AA12" s="31" t="s">
        <v>52</v>
      </c>
      <c r="AB12" s="31">
        <v>2</v>
      </c>
      <c r="AC12" s="44">
        <f>IF(AB12 = 5, 1, IF(AB12 = 4, 0.75, IF(AB12 = 3, 0.5, IF(AB12 = 2, 0.25, IF(AB12 = 1, 0.05, IF(AB12 = "&lt;1%", 0.01, IF(AB12 = "", "")))))))</f>
        <v>0.25</v>
      </c>
      <c r="AD12" s="31"/>
      <c r="AE12" s="31">
        <v>1</v>
      </c>
    </row>
    <row r="13" spans="1:31" x14ac:dyDescent="0.2">
      <c r="A13" s="2">
        <v>10</v>
      </c>
      <c r="B13" s="25" t="s">
        <v>272</v>
      </c>
      <c r="C13" s="25" t="s">
        <v>273</v>
      </c>
      <c r="D13" s="25" t="s">
        <v>55</v>
      </c>
      <c r="E13" s="25" t="s">
        <v>129</v>
      </c>
      <c r="F13" s="27" t="s">
        <v>32</v>
      </c>
      <c r="G13" s="31" t="s">
        <v>52</v>
      </c>
      <c r="H13" s="31">
        <v>1</v>
      </c>
      <c r="I13" s="44">
        <f>IF(H13 = 5, 1, IF(H13 = 4, 0.75, IF(H13 = 3, 0.5, IF(H13 = 2, 0.25, IF(H13 = 1, 0.05, IF(H13 = "&lt;1%", 0.01, IF(H13 = "", "")))))))</f>
        <v>0.05</v>
      </c>
      <c r="J13" s="31"/>
      <c r="K13" s="31">
        <v>1</v>
      </c>
      <c r="L13" s="29" t="s">
        <v>266</v>
      </c>
      <c r="M13" s="29"/>
      <c r="N13" s="44" t="str">
        <f>IF(M13 = 5, 1, IF(M13 = 4, 0.75, IF(M13 = 3, 0.5, IF(M13 = 2, 0.25, IF(M13 = 1, 0.05, IF(M13 = "&lt;1%", 0.01, IF(M13 = "", "")))))))</f>
        <v/>
      </c>
      <c r="O13" s="29"/>
      <c r="P13" s="29"/>
      <c r="Q13" s="31" t="s">
        <v>266</v>
      </c>
      <c r="R13" s="31"/>
      <c r="S13" s="44" t="str">
        <f>IF(R13 = 5, 1, IF(R13 = 4, 0.75, IF(R13 = 3, 0.5, IF(R13 = 2, 0.25, IF(R13 = 1, 0.05, IF(R13 = "&lt;1%", 0.01, IF(R13 = "", "")))))))</f>
        <v/>
      </c>
      <c r="T13" s="31"/>
      <c r="U13" s="31"/>
      <c r="V13" s="29"/>
      <c r="W13" s="29"/>
      <c r="X13" s="44" t="str">
        <f>IF(W13 = 5, 1, IF(W13 = 4, 0.75, IF(W13 = 3, 0.5, IF(W13 = 2, 0.25, IF(W13 = 1, 0.05, IF(W13 = "&lt;1%", 0.01, IF(W13 = "", "")))))))</f>
        <v/>
      </c>
      <c r="Y13" s="29"/>
      <c r="Z13" s="29"/>
      <c r="AA13" s="31" t="s">
        <v>266</v>
      </c>
      <c r="AB13" s="31"/>
      <c r="AC13" s="44" t="str">
        <f>IF(AB13 = 5, 1, IF(AB13 = 4, 0.75, IF(AB13 = 3, 0.5, IF(AB13 = 2, 0.25, IF(AB13 = 1, 0.05, IF(AB13 = "&lt;1%", 0.01, IF(AB13 = "", "")))))))</f>
        <v/>
      </c>
      <c r="AD13" s="31"/>
      <c r="AE13" s="31"/>
    </row>
    <row r="14" spans="1:31" x14ac:dyDescent="0.2">
      <c r="A14" s="2">
        <v>11</v>
      </c>
      <c r="B14" s="25" t="s">
        <v>286</v>
      </c>
      <c r="C14" s="25" t="s">
        <v>287</v>
      </c>
      <c r="D14" s="25" t="s">
        <v>145</v>
      </c>
      <c r="E14" s="25" t="s">
        <v>129</v>
      </c>
      <c r="F14" s="27" t="s">
        <v>32</v>
      </c>
      <c r="G14" s="31" t="s">
        <v>266</v>
      </c>
      <c r="H14" s="31"/>
      <c r="I14" s="44" t="str">
        <f>IF(H14 = 5, 1, IF(H14 = 4, 0.75, IF(H14 = 3, 0.5, IF(H14 = 2, 0.25, IF(H14 = 1, 0.05, IF(H14 = "&lt;1%", 0.01, IF(H14 = "", "")))))))</f>
        <v/>
      </c>
      <c r="J14" s="31"/>
      <c r="K14" s="31"/>
      <c r="L14" s="29" t="s">
        <v>266</v>
      </c>
      <c r="M14" s="29"/>
      <c r="N14" s="44" t="str">
        <f>IF(M14 = 5, 1, IF(M14 = 4, 0.75, IF(M14 = 3, 0.5, IF(M14 = 2, 0.25, IF(M14 = 1, 0.05, IF(M14 = "&lt;1%", 0.01, IF(M14 = "", "")))))))</f>
        <v/>
      </c>
      <c r="O14" s="29"/>
      <c r="P14" s="29"/>
      <c r="Q14" s="31" t="s">
        <v>266</v>
      </c>
      <c r="R14" s="31"/>
      <c r="S14" s="44" t="str">
        <f>IF(R14 = 5, 1, IF(R14 = 4, 0.75, IF(R14 = 3, 0.5, IF(R14 = 2, 0.25, IF(R14 = 1, 0.05, IF(R14 = "&lt;1%", 0.01, IF(R14 = "", "")))))))</f>
        <v/>
      </c>
      <c r="T14" s="31"/>
      <c r="U14" s="31"/>
      <c r="V14" s="29"/>
      <c r="W14" s="29"/>
      <c r="X14" s="44" t="str">
        <f>IF(W14 = 5, 1, IF(W14 = 4, 0.75, IF(W14 = 3, 0.5, IF(W14 = 2, 0.25, IF(W14 = 1, 0.05, IF(W14 = "&lt;1%", 0.01, IF(W14 = "", "")))))))</f>
        <v/>
      </c>
      <c r="Y14" s="29"/>
      <c r="Z14" s="29"/>
      <c r="AA14" s="31" t="s">
        <v>52</v>
      </c>
      <c r="AB14" s="31"/>
      <c r="AC14" s="44" t="str">
        <f>IF(AB14 = 5, 1, IF(AB14 = 4, 0.75, IF(AB14 = 3, 0.5, IF(AB14 = 2, 0.25, IF(AB14 = 1, 0.05, IF(AB14 = "&lt;1%", 0.01, IF(AB14 = "", "")))))))</f>
        <v/>
      </c>
      <c r="AD14" s="31"/>
      <c r="AE14" s="31"/>
    </row>
    <row r="15" spans="1:31" x14ac:dyDescent="0.2">
      <c r="A15" s="2">
        <v>12</v>
      </c>
      <c r="B15" s="25" t="s">
        <v>270</v>
      </c>
      <c r="C15" s="25" t="s">
        <v>271</v>
      </c>
      <c r="D15" s="25" t="s">
        <v>51</v>
      </c>
      <c r="E15" s="25" t="s">
        <v>129</v>
      </c>
      <c r="F15" s="27" t="s">
        <v>32</v>
      </c>
      <c r="G15" s="31" t="s">
        <v>52</v>
      </c>
      <c r="H15" s="31">
        <v>2</v>
      </c>
      <c r="I15" s="44">
        <f>IF(H15 = 5, 1, IF(H15 = 4, 0.75, IF(H15 = 3, 0.5, IF(H15 = 2, 0.25, IF(H15 = 1, 0.05, IF(H15 = "&lt;1%", 0.01, IF(H15 = "", "")))))))</f>
        <v>0.25</v>
      </c>
      <c r="J15" s="31"/>
      <c r="K15" s="31">
        <v>1</v>
      </c>
      <c r="L15" s="29" t="s">
        <v>266</v>
      </c>
      <c r="M15" s="29"/>
      <c r="N15" s="44" t="str">
        <f>IF(M15 = 5, 1, IF(M15 = 4, 0.75, IF(M15 = 3, 0.5, IF(M15 = 2, 0.25, IF(M15 = 1, 0.05, IF(M15 = "&lt;1%", 0.01, IF(M15 = "", "")))))))</f>
        <v/>
      </c>
      <c r="O15" s="29"/>
      <c r="P15" s="29"/>
      <c r="Q15" s="31" t="s">
        <v>266</v>
      </c>
      <c r="R15" s="31"/>
      <c r="S15" s="44" t="str">
        <f>IF(R15 = 5, 1, IF(R15 = 4, 0.75, IF(R15 = 3, 0.5, IF(R15 = 2, 0.25, IF(R15 = 1, 0.05, IF(R15 = "&lt;1%", 0.01, IF(R15 = "", "")))))))</f>
        <v/>
      </c>
      <c r="T15" s="31"/>
      <c r="U15" s="31"/>
      <c r="V15" s="29"/>
      <c r="W15" s="29"/>
      <c r="X15" s="44" t="str">
        <f>IF(W15 = 5, 1, IF(W15 = 4, 0.75, IF(W15 = 3, 0.5, IF(W15 = 2, 0.25, IF(W15 = 1, 0.05, IF(W15 = "&lt;1%", 0.01, IF(W15 = "", "")))))))</f>
        <v/>
      </c>
      <c r="Y15" s="29"/>
      <c r="Z15" s="29"/>
      <c r="AA15" s="31" t="s">
        <v>266</v>
      </c>
      <c r="AB15" s="31"/>
      <c r="AC15" s="44" t="str">
        <f>IF(AB15 = 5, 1, IF(AB15 = 4, 0.75, IF(AB15 = 3, 0.5, IF(AB15 = 2, 0.25, IF(AB15 = 1, 0.05, IF(AB15 = "&lt;1%", 0.01, IF(AB15 = "", "")))))))</f>
        <v/>
      </c>
      <c r="AD15" s="31"/>
      <c r="AE15" s="31"/>
    </row>
    <row r="16" spans="1:31" x14ac:dyDescent="0.2">
      <c r="A16" s="2">
        <v>13</v>
      </c>
      <c r="B16" s="25" t="s">
        <v>278</v>
      </c>
      <c r="C16" s="25" t="s">
        <v>279</v>
      </c>
      <c r="D16" s="25" t="s">
        <v>55</v>
      </c>
      <c r="E16" s="25" t="s">
        <v>129</v>
      </c>
      <c r="F16" s="27" t="s">
        <v>32</v>
      </c>
      <c r="G16" s="31" t="s">
        <v>266</v>
      </c>
      <c r="H16" s="31"/>
      <c r="I16" s="44" t="str">
        <f>IF(H16 = 5, 1, IF(H16 = 4, 0.75, IF(H16 = 3, 0.5, IF(H16 = 2, 0.25, IF(H16 = 1, 0.05, IF(H16 = "&lt;1%", 0.01, IF(H16 = "", "")))))))</f>
        <v/>
      </c>
      <c r="J16" s="31"/>
      <c r="K16" s="31"/>
      <c r="L16" s="29" t="s">
        <v>52</v>
      </c>
      <c r="M16" s="29">
        <v>2</v>
      </c>
      <c r="N16" s="44">
        <f>IF(M16 = 5, 1, IF(M16 = 4, 0.75, IF(M16 = 3, 0.5, IF(M16 = 2, 0.25, IF(M16 = 1, 0.05, IF(M16 = "&lt;1%", 0.01, IF(M16 = "", "")))))))</f>
        <v>0.25</v>
      </c>
      <c r="O16" s="29"/>
      <c r="P16" s="29">
        <v>1</v>
      </c>
      <c r="Q16" s="31" t="s">
        <v>266</v>
      </c>
      <c r="R16" s="31"/>
      <c r="S16" s="44" t="str">
        <f>IF(R16 = 5, 1, IF(R16 = 4, 0.75, IF(R16 = 3, 0.5, IF(R16 = 2, 0.25, IF(R16 = 1, 0.05, IF(R16 = "&lt;1%", 0.01, IF(R16 = "", "")))))))</f>
        <v/>
      </c>
      <c r="T16" s="31"/>
      <c r="U16" s="31"/>
      <c r="V16" s="29"/>
      <c r="W16" s="29"/>
      <c r="X16" s="44" t="str">
        <f>IF(W16 = 5, 1, IF(W16 = 4, 0.75, IF(W16 = 3, 0.5, IF(W16 = 2, 0.25, IF(W16 = 1, 0.05, IF(W16 = "&lt;1%", 0.01, IF(W16 = "", "")))))))</f>
        <v/>
      </c>
      <c r="Y16" s="29"/>
      <c r="Z16" s="29"/>
      <c r="AA16" s="31" t="s">
        <v>266</v>
      </c>
      <c r="AB16" s="31"/>
      <c r="AC16" s="44" t="str">
        <f>IF(AB16 = 5, 1, IF(AB16 = 4, 0.75, IF(AB16 = 3, 0.5, IF(AB16 = 2, 0.25, IF(AB16 = 1, 0.05, IF(AB16 = "&lt;1%", 0.01, IF(AB16 = "", "")))))))</f>
        <v/>
      </c>
      <c r="AD16" s="31"/>
      <c r="AE16" s="31"/>
    </row>
    <row r="17" spans="1:31" x14ac:dyDescent="0.2">
      <c r="A17" s="2">
        <v>14</v>
      </c>
      <c r="B17" s="25" t="s">
        <v>264</v>
      </c>
      <c r="C17" s="25" t="s">
        <v>265</v>
      </c>
      <c r="D17" s="25" t="s">
        <v>55</v>
      </c>
      <c r="E17" s="25" t="s">
        <v>129</v>
      </c>
      <c r="F17" s="27" t="s">
        <v>32</v>
      </c>
      <c r="G17" s="31" t="s">
        <v>52</v>
      </c>
      <c r="H17" s="31">
        <v>1</v>
      </c>
      <c r="I17" s="44">
        <f>IF(H17 = 5, 1, IF(H17 = 4, 0.75, IF(H17 = 3, 0.5, IF(H17 = 2, 0.25, IF(H17 = 1, 0.05, IF(H17 = "&lt;1%", 0.01, IF(H17 = "", "")))))))</f>
        <v>0.05</v>
      </c>
      <c r="J17" s="31"/>
      <c r="K17" s="31">
        <v>2</v>
      </c>
      <c r="L17" s="29" t="s">
        <v>266</v>
      </c>
      <c r="M17" s="29"/>
      <c r="N17" s="44" t="str">
        <f>IF(M17 = 5, 1, IF(M17 = 4, 0.75, IF(M17 = 3, 0.5, IF(M17 = 2, 0.25, IF(M17 = 1, 0.05, IF(M17 = "&lt;1%", 0.01, IF(M17 = "", "")))))))</f>
        <v/>
      </c>
      <c r="O17" s="29"/>
      <c r="P17" s="29"/>
      <c r="Q17" s="31" t="s">
        <v>266</v>
      </c>
      <c r="R17" s="31"/>
      <c r="S17" s="44" t="str">
        <f>IF(R17 = 5, 1, IF(R17 = 4, 0.75, IF(R17 = 3, 0.5, IF(R17 = 2, 0.25, IF(R17 = 1, 0.05, IF(R17 = "&lt;1%", 0.01, IF(R17 = "", "")))))))</f>
        <v/>
      </c>
      <c r="T17" s="31"/>
      <c r="U17" s="31"/>
      <c r="V17" s="29" t="s">
        <v>52</v>
      </c>
      <c r="W17" s="29">
        <v>2</v>
      </c>
      <c r="X17" s="44">
        <f>IF(W17 = 5, 1, IF(W17 = 4, 0.75, IF(W17 = 3, 0.5, IF(W17 = 2, 0.25, IF(W17 = 1, 0.05, IF(W17 = "&lt;1%", 0.01, IF(W17 = "", "")))))))</f>
        <v>0.25</v>
      </c>
      <c r="Y17" s="29"/>
      <c r="Z17" s="29">
        <v>2</v>
      </c>
      <c r="AA17" s="31" t="s">
        <v>52</v>
      </c>
      <c r="AB17" s="31">
        <v>1</v>
      </c>
      <c r="AC17" s="44">
        <f>IF(AB17 = 5, 1, IF(AB17 = 4, 0.75, IF(AB17 = 3, 0.5, IF(AB17 = 2, 0.25, IF(AB17 = 1, 0.05, IF(AB17 = "&lt;1%", 0.01, IF(AB17 = "", "")))))))</f>
        <v>0.05</v>
      </c>
      <c r="AD17" s="31"/>
      <c r="AE17" s="31">
        <v>1</v>
      </c>
    </row>
    <row r="18" spans="1:31" x14ac:dyDescent="0.2">
      <c r="A18" s="2">
        <v>15</v>
      </c>
      <c r="B18" s="25" t="s">
        <v>291</v>
      </c>
      <c r="C18" s="25" t="s">
        <v>292</v>
      </c>
      <c r="D18" s="25" t="s">
        <v>145</v>
      </c>
      <c r="E18" s="25" t="s">
        <v>129</v>
      </c>
      <c r="F18" s="27" t="s">
        <v>32</v>
      </c>
      <c r="G18" s="31" t="s">
        <v>266</v>
      </c>
      <c r="H18" s="31"/>
      <c r="I18" s="44" t="str">
        <f>IF(H18 = 5, 1, IF(H18 = 4, 0.75, IF(H18 = 3, 0.5, IF(H18 = 2, 0.25, IF(H18 = 1, 0.05, IF(H18 = "&lt;1%", 0.01, IF(H18 = "", "")))))))</f>
        <v/>
      </c>
      <c r="J18" s="31"/>
      <c r="K18" s="31"/>
      <c r="L18" s="29" t="s">
        <v>266</v>
      </c>
      <c r="M18" s="29"/>
      <c r="N18" s="44" t="str">
        <f>IF(M18 = 5, 1, IF(M18 = 4, 0.75, IF(M18 = 3, 0.5, IF(M18 = 2, 0.25, IF(M18 = 1, 0.05, IF(M18 = "&lt;1%", 0.01, IF(M18 = "", "")))))))</f>
        <v/>
      </c>
      <c r="O18" s="29"/>
      <c r="P18" s="29"/>
      <c r="Q18" s="31" t="s">
        <v>266</v>
      </c>
      <c r="R18" s="31"/>
      <c r="S18" s="44" t="str">
        <f>IF(R18 = 5, 1, IF(R18 = 4, 0.75, IF(R18 = 3, 0.5, IF(R18 = 2, 0.25, IF(R18 = 1, 0.05, IF(R18 = "&lt;1%", 0.01, IF(R18 = "", "")))))))</f>
        <v/>
      </c>
      <c r="T18" s="31"/>
      <c r="U18" s="31"/>
      <c r="V18" s="29" t="s">
        <v>52</v>
      </c>
      <c r="W18" s="29">
        <v>1</v>
      </c>
      <c r="X18" s="44">
        <f>IF(W18 = 5, 1, IF(W18 = 4, 0.75, IF(W18 = 3, 0.5, IF(W18 = 2, 0.25, IF(W18 = 1, 0.05, IF(W18 = "&lt;1%", 0.01, IF(W18 = "", "")))))))</f>
        <v>0.05</v>
      </c>
      <c r="Y18" s="29"/>
      <c r="Z18" s="29">
        <v>1</v>
      </c>
      <c r="AA18" s="31" t="s">
        <v>266</v>
      </c>
      <c r="AB18" s="31"/>
      <c r="AC18" s="44" t="str">
        <f>IF(AB18 = 5, 1, IF(AB18 = 4, 0.75, IF(AB18 = 3, 0.5, IF(AB18 = 2, 0.25, IF(AB18 = 1, 0.05, IF(AB18 = "&lt;1%", 0.01, IF(AB18 = "", "")))))))</f>
        <v/>
      </c>
      <c r="AD18" s="31"/>
      <c r="AE18" s="31"/>
    </row>
    <row r="19" spans="1:31" x14ac:dyDescent="0.2">
      <c r="A19" s="2">
        <v>16</v>
      </c>
      <c r="B19" s="25" t="s">
        <v>81</v>
      </c>
      <c r="C19" s="25" t="s">
        <v>269</v>
      </c>
      <c r="D19" s="25" t="s">
        <v>83</v>
      </c>
      <c r="E19" s="25" t="s">
        <v>129</v>
      </c>
      <c r="F19" s="27" t="s">
        <v>31</v>
      </c>
      <c r="G19" s="31" t="s">
        <v>52</v>
      </c>
      <c r="H19" s="31">
        <v>2</v>
      </c>
      <c r="I19" s="44">
        <f>IF(H19 = 5, 1, IF(H19 = 4, 0.75, IF(H19 = 3, 0.5, IF(H19 = 2, 0.25, IF(H19 = 1, 0.05, IF(H19 = "&lt;1%", 0.01, IF(H19 = "", "")))))))</f>
        <v>0.25</v>
      </c>
      <c r="J19" s="31"/>
      <c r="K19" s="31">
        <v>2</v>
      </c>
      <c r="L19" s="29" t="s">
        <v>52</v>
      </c>
      <c r="M19" s="29">
        <v>4</v>
      </c>
      <c r="N19" s="44">
        <f>IF(M19 = 5, 1, IF(M19 = 4, 0.75, IF(M19 = 3, 0.5, IF(M19 = 2, 0.25, IF(M19 = 1, 0.05, IF(M19 = "&lt;1%", 0.01, IF(M19 = "", "")))))))</f>
        <v>0.75</v>
      </c>
      <c r="O19" s="29"/>
      <c r="P19" s="29">
        <v>2</v>
      </c>
      <c r="Q19" s="31" t="s">
        <v>266</v>
      </c>
      <c r="R19" s="31"/>
      <c r="S19" s="44" t="str">
        <f>IF(R19 = 5, 1, IF(R19 = 4, 0.75, IF(R19 = 3, 0.5, IF(R19 = 2, 0.25, IF(R19 = 1, 0.05, IF(R19 = "&lt;1%", 0.01, IF(R19 = "", "")))))))</f>
        <v/>
      </c>
      <c r="T19" s="31"/>
      <c r="U19" s="31"/>
      <c r="V19" s="29" t="s">
        <v>52</v>
      </c>
      <c r="W19" s="29">
        <v>2</v>
      </c>
      <c r="X19" s="44">
        <f>IF(W19 = 5, 1, IF(W19 = 4, 0.75, IF(W19 = 3, 0.5, IF(W19 = 2, 0.25, IF(W19 = 1, 0.05, IF(W19 = "&lt;1%", 0.01, IF(W19 = "", "")))))))</f>
        <v>0.25</v>
      </c>
      <c r="Y19" s="29"/>
      <c r="Z19" s="29">
        <v>1</v>
      </c>
      <c r="AA19" s="31" t="s">
        <v>266</v>
      </c>
      <c r="AB19" s="31"/>
      <c r="AC19" s="44" t="str">
        <f>IF(AB19 = 5, 1, IF(AB19 = 4, 0.75, IF(AB19 = 3, 0.5, IF(AB19 = 2, 0.25, IF(AB19 = 1, 0.05, IF(AB19 = "&lt;1%", 0.01, IF(AB19 = "", "")))))))</f>
        <v/>
      </c>
      <c r="AD19" s="31"/>
      <c r="AE19" s="31"/>
    </row>
    <row r="20" spans="1:31" x14ac:dyDescent="0.2">
      <c r="A20" s="2">
        <v>17</v>
      </c>
      <c r="B20" s="25" t="s">
        <v>282</v>
      </c>
      <c r="C20" s="25" t="s">
        <v>283</v>
      </c>
      <c r="D20" s="25" t="s">
        <v>55</v>
      </c>
      <c r="E20" s="25" t="s">
        <v>129</v>
      </c>
      <c r="F20" s="27" t="s">
        <v>32</v>
      </c>
      <c r="G20" s="31" t="s">
        <v>266</v>
      </c>
      <c r="H20" s="31"/>
      <c r="I20" s="44" t="str">
        <f>IF(H20 = 5, 1, IF(H20 = 4, 0.75, IF(H20 = 3, 0.5, IF(H20 = 2, 0.25, IF(H20 = 1, 0.05, IF(H20 = "&lt;1%", 0.01, IF(H20 = "", "")))))))</f>
        <v/>
      </c>
      <c r="J20" s="31"/>
      <c r="K20" s="31"/>
      <c r="L20" s="29" t="s">
        <v>266</v>
      </c>
      <c r="M20" s="29"/>
      <c r="N20" s="44" t="str">
        <f>IF(M20 = 5, 1, IF(M20 = 4, 0.75, IF(M20 = 3, 0.5, IF(M20 = 2, 0.25, IF(M20 = 1, 0.05, IF(M20 = "&lt;1%", 0.01, IF(M20 = "", "")))))))</f>
        <v/>
      </c>
      <c r="O20" s="29"/>
      <c r="P20" s="29"/>
      <c r="Q20" s="31" t="s">
        <v>52</v>
      </c>
      <c r="R20" s="31">
        <v>4</v>
      </c>
      <c r="S20" s="44">
        <f>IF(R20 = 5, 1, IF(R20 = 4, 0.75, IF(R20 = 3, 0.5, IF(R20 = 2, 0.25, IF(R20 = 1, 0.05, IF(R20 = "&lt;1%", 0.01, IF(R20 = "", "")))))))</f>
        <v>0.75</v>
      </c>
      <c r="T20" s="31"/>
      <c r="U20" s="31">
        <v>2</v>
      </c>
      <c r="V20" s="29" t="s">
        <v>52</v>
      </c>
      <c r="W20" s="29">
        <v>3</v>
      </c>
      <c r="X20" s="44">
        <f>IF(W20 = 5, 1, IF(W20 = 4, 0.75, IF(W20 = 3, 0.5, IF(W20 = 2, 0.25, IF(W20 = 1, 0.05, IF(W20 = "&lt;1%", 0.01, IF(W20 = "", "")))))))</f>
        <v>0.5</v>
      </c>
      <c r="Y20" s="29"/>
      <c r="Z20" s="29">
        <v>2</v>
      </c>
      <c r="AA20" s="31" t="s">
        <v>266</v>
      </c>
      <c r="AB20" s="31"/>
      <c r="AC20" s="44" t="str">
        <f>IF(AB20 = 5, 1, IF(AB20 = 4, 0.75, IF(AB20 = 3, 0.5, IF(AB20 = 2, 0.25, IF(AB20 = 1, 0.05, IF(AB20 = "&lt;1%", 0.01, IF(AB20 = "", "")))))))</f>
        <v/>
      </c>
      <c r="AD20" s="31"/>
      <c r="AE20" s="31"/>
    </row>
    <row r="21" spans="1:31" x14ac:dyDescent="0.2">
      <c r="A21" s="2">
        <v>18</v>
      </c>
      <c r="B21" s="25" t="s">
        <v>267</v>
      </c>
      <c r="C21" s="25" t="s">
        <v>268</v>
      </c>
      <c r="D21" s="25" t="s">
        <v>55</v>
      </c>
      <c r="E21" s="25" t="s">
        <v>129</v>
      </c>
      <c r="F21" s="27" t="s">
        <v>32</v>
      </c>
      <c r="G21" s="31" t="s">
        <v>52</v>
      </c>
      <c r="H21" s="31">
        <v>3</v>
      </c>
      <c r="I21" s="44">
        <f>IF(H21 = 5, 1, IF(H21 = 4, 0.75, IF(H21 = 3, 0.5, IF(H21 = 2, 0.25, IF(H21 = 1, 0.05, IF(H21 = "&lt;1%", 0.01, IF(H21 = "", "")))))))</f>
        <v>0.5</v>
      </c>
      <c r="J21" s="31"/>
      <c r="K21" s="31">
        <v>1</v>
      </c>
      <c r="L21" s="29" t="s">
        <v>266</v>
      </c>
      <c r="M21" s="29"/>
      <c r="N21" s="44" t="str">
        <f>IF(M21 = 5, 1, IF(M21 = 4, 0.75, IF(M21 = 3, 0.5, IF(M21 = 2, 0.25, IF(M21 = 1, 0.05, IF(M21 = "&lt;1%", 0.01, IF(M21 = "", "")))))))</f>
        <v/>
      </c>
      <c r="O21" s="29"/>
      <c r="P21" s="29"/>
      <c r="Q21" s="31" t="s">
        <v>266</v>
      </c>
      <c r="R21" s="31"/>
      <c r="S21" s="44" t="str">
        <f>IF(R21 = 5, 1, IF(R21 = 4, 0.75, IF(R21 = 3, 0.5, IF(R21 = 2, 0.25, IF(R21 = 1, 0.05, IF(R21 = "&lt;1%", 0.01, IF(R21 = "", "")))))))</f>
        <v/>
      </c>
      <c r="T21" s="31"/>
      <c r="U21" s="31"/>
      <c r="V21" s="29"/>
      <c r="W21" s="29"/>
      <c r="X21" s="44" t="str">
        <f>IF(W21 = 5, 1, IF(W21 = 4, 0.75, IF(W21 = 3, 0.5, IF(W21 = 2, 0.25, IF(W21 = 1, 0.05, IF(W21 = "&lt;1%", 0.01, IF(W21 = "", "")))))))</f>
        <v/>
      </c>
      <c r="Y21" s="29"/>
      <c r="Z21" s="29"/>
      <c r="AA21" s="31" t="s">
        <v>52</v>
      </c>
      <c r="AB21" s="31">
        <v>3</v>
      </c>
      <c r="AC21" s="44">
        <f>IF(AB21 = 5, 1, IF(AB21 = 4, 0.75, IF(AB21 = 3, 0.5, IF(AB21 = 2, 0.25, IF(AB21 = 1, 0.05, IF(AB21 = "&lt;1%", 0.01, IF(AB21 = "", "")))))))</f>
        <v>0.5</v>
      </c>
      <c r="AD21" s="31"/>
      <c r="AE21" s="31">
        <v>1</v>
      </c>
    </row>
    <row r="22" spans="1:31" x14ac:dyDescent="0.2">
      <c r="A22" s="2">
        <v>19</v>
      </c>
      <c r="B22" s="25" t="s">
        <v>233</v>
      </c>
      <c r="C22" s="25" t="s">
        <v>301</v>
      </c>
      <c r="D22" s="25" t="s">
        <v>37</v>
      </c>
      <c r="E22" s="25" t="s">
        <v>129</v>
      </c>
      <c r="F22" s="27" t="s">
        <v>31</v>
      </c>
      <c r="G22" s="31" t="s">
        <v>266</v>
      </c>
      <c r="H22" s="31"/>
      <c r="I22" s="44" t="str">
        <f>IF(H22 = 5, 1, IF(H22 = 4, 0.75, IF(H22 = 3, 0.5, IF(H22 = 2, 0.25, IF(H22 = 1, 0.05, IF(H22 = "&lt;1%", 0.01, IF(H22 = "", "")))))))</f>
        <v/>
      </c>
      <c r="J22" s="31"/>
      <c r="K22" s="31"/>
      <c r="L22" s="29" t="s">
        <v>266</v>
      </c>
      <c r="M22" s="29"/>
      <c r="N22" s="44" t="str">
        <f>IF(M22 = 5, 1, IF(M22 = 4, 0.75, IF(M22 = 3, 0.5, IF(M22 = 2, 0.25, IF(M22 = 1, 0.05, IF(M22 = "&lt;1%", 0.01, IF(M22 = "", "")))))))</f>
        <v/>
      </c>
      <c r="O22" s="29"/>
      <c r="P22" s="29"/>
      <c r="Q22" s="31" t="s">
        <v>52</v>
      </c>
      <c r="R22" s="31">
        <v>4</v>
      </c>
      <c r="S22" s="44">
        <f>IF(R22 = 5, 1, IF(R22 = 4, 0.75, IF(R22 = 3, 0.5, IF(R22 = 2, 0.25, IF(R22 = 1, 0.05, IF(R22 = "&lt;1%", 0.01, IF(R22 = "", "")))))))</f>
        <v>0.75</v>
      </c>
      <c r="T22" s="31" t="s">
        <v>302</v>
      </c>
      <c r="U22" s="31">
        <v>1270</v>
      </c>
      <c r="V22" s="29"/>
      <c r="W22" s="29"/>
      <c r="X22" s="44" t="str">
        <f>IF(W22 = 5, 1, IF(W22 = 4, 0.75, IF(W22 = 3, 0.5, IF(W22 = 2, 0.25, IF(W22 = 1, 0.05, IF(W22 = "&lt;1%", 0.01, IF(W22 = "", "")))))))</f>
        <v/>
      </c>
      <c r="Y22" s="29"/>
      <c r="Z22" s="29"/>
      <c r="AA22" s="31" t="s">
        <v>266</v>
      </c>
      <c r="AB22" s="31"/>
      <c r="AC22" s="44" t="str">
        <f>IF(AB22 = 5, 1, IF(AB22 = 4, 0.75, IF(AB22 = 3, 0.5, IF(AB22 = 2, 0.25, IF(AB22 = 1, 0.05, IF(AB22 = "&lt;1%", 0.01, IF(AB22 = "", "")))))))</f>
        <v/>
      </c>
      <c r="AD22" s="31"/>
      <c r="AE22" s="31"/>
    </row>
    <row r="23" spans="1:31" x14ac:dyDescent="0.2">
      <c r="A23" s="2">
        <v>20</v>
      </c>
      <c r="B23" s="25" t="s">
        <v>295</v>
      </c>
      <c r="C23" s="25" t="s">
        <v>296</v>
      </c>
      <c r="D23" s="25" t="s">
        <v>37</v>
      </c>
      <c r="E23" s="25" t="s">
        <v>129</v>
      </c>
      <c r="F23" s="27" t="s">
        <v>31</v>
      </c>
      <c r="G23" s="31" t="s">
        <v>52</v>
      </c>
      <c r="H23" s="31">
        <v>1</v>
      </c>
      <c r="I23" s="44">
        <f>IF(H23 = 5, 1, IF(H23 = 4, 0.75, IF(H23 = 3, 0.5, IF(H23 = 2, 0.25, IF(H23 = 1, 0.05, IF(H23 = "&lt;1%", 0.01, IF(H23 = "", "")))))))</f>
        <v>0.05</v>
      </c>
      <c r="J23" s="31" t="s">
        <v>297</v>
      </c>
      <c r="K23" s="31">
        <v>340</v>
      </c>
      <c r="L23" s="29" t="s">
        <v>266</v>
      </c>
      <c r="M23" s="29"/>
      <c r="N23" s="44" t="str">
        <f>IF(M23 = 5, 1, IF(M23 = 4, 0.75, IF(M23 = 3, 0.5, IF(M23 = 2, 0.25, IF(M23 = 1, 0.05, IF(M23 = "&lt;1%", 0.01, IF(M23 = "", "")))))))</f>
        <v/>
      </c>
      <c r="O23" s="29" t="s">
        <v>298</v>
      </c>
      <c r="P23" s="29"/>
      <c r="Q23" s="31" t="s">
        <v>266</v>
      </c>
      <c r="R23" s="31"/>
      <c r="S23" s="44" t="str">
        <f>IF(R23 = 5, 1, IF(R23 = 4, 0.75, IF(R23 = 3, 0.5, IF(R23 = 2, 0.25, IF(R23 = 1, 0.05, IF(R23 = "&lt;1%", 0.01, IF(R23 = "", "")))))))</f>
        <v/>
      </c>
      <c r="T23" s="31"/>
      <c r="U23" s="31"/>
      <c r="V23" s="29"/>
      <c r="W23" s="29"/>
      <c r="X23" s="44" t="str">
        <f>IF(W23 = 5, 1, IF(W23 = 4, 0.75, IF(W23 = 3, 0.5, IF(W23 = 2, 0.25, IF(W23 = 1, 0.05, IF(W23 = "&lt;1%", 0.01, IF(W23 = "", "")))))))</f>
        <v/>
      </c>
      <c r="Y23" s="29"/>
      <c r="Z23" s="29"/>
      <c r="AA23" s="31" t="s">
        <v>266</v>
      </c>
      <c r="AB23" s="31"/>
      <c r="AC23" s="44" t="str">
        <f>IF(AB23 = 5, 1, IF(AB23 = 4, 0.75, IF(AB23 = 3, 0.5, IF(AB23 = 2, 0.25, IF(AB23 = 1, 0.05, IF(AB23 = "&lt;1%", 0.01, IF(AB23 = "", "")))))))</f>
        <v/>
      </c>
      <c r="AD23" s="31"/>
      <c r="AE23" s="31"/>
    </row>
    <row r="24" spans="1:31" x14ac:dyDescent="0.2">
      <c r="A24" s="2">
        <v>21</v>
      </c>
      <c r="B24" s="25" t="s">
        <v>64</v>
      </c>
      <c r="C24" s="25" t="s">
        <v>288</v>
      </c>
      <c r="D24" s="25" t="s">
        <v>55</v>
      </c>
      <c r="E24" s="25" t="s">
        <v>129</v>
      </c>
      <c r="F24" s="27" t="s">
        <v>31</v>
      </c>
      <c r="G24" s="31" t="s">
        <v>266</v>
      </c>
      <c r="H24" s="31"/>
      <c r="I24" s="44" t="str">
        <f>IF(H24 = 5, 1, IF(H24 = 4, 0.75, IF(H24 = 3, 0.5, IF(H24 = 2, 0.25, IF(H24 = 1, 0.05, IF(H24 = "&lt;1%", 0.01, IF(H24 = "", "")))))))</f>
        <v/>
      </c>
      <c r="J24" s="31"/>
      <c r="K24" s="31"/>
      <c r="L24" s="29" t="s">
        <v>266</v>
      </c>
      <c r="M24" s="29"/>
      <c r="N24" s="44" t="str">
        <f>IF(M24 = 5, 1, IF(M24 = 4, 0.75, IF(M24 = 3, 0.5, IF(M24 = 2, 0.25, IF(M24 = 1, 0.05, IF(M24 = "&lt;1%", 0.01, IF(M24 = "", "")))))))</f>
        <v/>
      </c>
      <c r="O24" s="29"/>
      <c r="P24" s="29"/>
      <c r="Q24" s="31" t="s">
        <v>266</v>
      </c>
      <c r="R24" s="31"/>
      <c r="S24" s="44" t="str">
        <f>IF(R24 = 5, 1, IF(R24 = 4, 0.75, IF(R24 = 3, 0.5, IF(R24 = 2, 0.25, IF(R24 = 1, 0.05, IF(R24 = "&lt;1%", 0.01, IF(R24 = "", "")))))))</f>
        <v/>
      </c>
      <c r="T24" s="31"/>
      <c r="U24" s="31"/>
      <c r="V24" s="29"/>
      <c r="W24" s="29"/>
      <c r="X24" s="44" t="str">
        <f>IF(W24 = 5, 1, IF(W24 = 4, 0.75, IF(W24 = 3, 0.5, IF(W24 = 2, 0.25, IF(W24 = 1, 0.05, IF(W24 = "&lt;1%", 0.01, IF(W24 = "", "")))))))</f>
        <v/>
      </c>
      <c r="Y24" s="29"/>
      <c r="Z24" s="29"/>
      <c r="AA24" s="31" t="s">
        <v>52</v>
      </c>
      <c r="AB24" s="31">
        <v>2</v>
      </c>
      <c r="AC24" s="44">
        <f>IF(AB24 = 5, 1, IF(AB24 = 4, 0.75, IF(AB24 = 3, 0.5, IF(AB24 = 2, 0.25, IF(AB24 = 1, 0.05, IF(AB24 = "&lt;1%", 0.01, IF(AB24 = "", "")))))))</f>
        <v>0.25</v>
      </c>
      <c r="AD24" s="31"/>
      <c r="AE24" s="31">
        <v>3</v>
      </c>
    </row>
    <row r="25" spans="1:31" x14ac:dyDescent="0.2">
      <c r="A25" s="2">
        <v>22</v>
      </c>
      <c r="B25" s="25" t="s">
        <v>293</v>
      </c>
      <c r="C25" s="25" t="s">
        <v>294</v>
      </c>
      <c r="D25" s="25" t="s">
        <v>145</v>
      </c>
      <c r="E25" s="25" t="s">
        <v>129</v>
      </c>
      <c r="F25" s="27" t="s">
        <v>32</v>
      </c>
      <c r="G25" s="31" t="s">
        <v>52</v>
      </c>
      <c r="H25" s="31"/>
      <c r="I25" s="44" t="str">
        <f>IF(H25 = 5, 1, IF(H25 = 4, 0.75, IF(H25 = 3, 0.5, IF(H25 = 2, 0.25, IF(H25 = 1, 0.05, IF(H25 = "&lt;1%", 0.01, IF(H25 = "", "")))))))</f>
        <v/>
      </c>
      <c r="J25" s="31"/>
      <c r="K25" s="31"/>
      <c r="L25" s="29" t="s">
        <v>266</v>
      </c>
      <c r="M25" s="29"/>
      <c r="N25" s="44" t="str">
        <f>IF(M25 = 5, 1, IF(M25 = 4, 0.75, IF(M25 = 3, 0.5, IF(M25 = 2, 0.25, IF(M25 = 1, 0.05, IF(M25 = "&lt;1%", 0.01, IF(M25 = "", "")))))))</f>
        <v/>
      </c>
      <c r="O25" s="29"/>
      <c r="P25" s="29"/>
      <c r="Q25" s="31" t="s">
        <v>266</v>
      </c>
      <c r="R25" s="31"/>
      <c r="S25" s="44" t="str">
        <f>IF(R25 = 5, 1, IF(R25 = 4, 0.75, IF(R25 = 3, 0.5, IF(R25 = 2, 0.25, IF(R25 = 1, 0.05, IF(R25 = "&lt;1%", 0.01, IF(R25 = "", "")))))))</f>
        <v/>
      </c>
      <c r="T25" s="31"/>
      <c r="U25" s="31"/>
      <c r="V25" s="29"/>
      <c r="W25" s="29"/>
      <c r="X25" s="44" t="str">
        <f>IF(W25 = 5, 1, IF(W25 = 4, 0.75, IF(W25 = 3, 0.5, IF(W25 = 2, 0.25, IF(W25 = 1, 0.05, IF(W25 = "&lt;1%", 0.01, IF(W25 = "", "")))))))</f>
        <v/>
      </c>
      <c r="Y25" s="29"/>
      <c r="Z25" s="29"/>
      <c r="AA25" s="31" t="s">
        <v>266</v>
      </c>
      <c r="AB25" s="31"/>
      <c r="AC25" s="44" t="str">
        <f>IF(AB25 = 5, 1, IF(AB25 = 4, 0.75, IF(AB25 = 3, 0.5, IF(AB25 = 2, 0.25, IF(AB25 = 1, 0.05, IF(AB25 = "&lt;1%", 0.01, IF(AB25 = "", "")))))))</f>
        <v/>
      </c>
      <c r="AD25" s="31"/>
      <c r="AE25" s="31"/>
    </row>
    <row r="26" spans="1:31" x14ac:dyDescent="0.2">
      <c r="A26" s="2">
        <v>23</v>
      </c>
      <c r="B26" s="25" t="s">
        <v>220</v>
      </c>
      <c r="C26" s="25" t="s">
        <v>221</v>
      </c>
      <c r="D26" s="25" t="s">
        <v>37</v>
      </c>
      <c r="E26" s="25" t="s">
        <v>30</v>
      </c>
      <c r="F26" s="27" t="s">
        <v>31</v>
      </c>
      <c r="G26" s="31" t="s">
        <v>31</v>
      </c>
      <c r="H26" s="31">
        <v>5</v>
      </c>
      <c r="I26" s="44">
        <f>IF(H26 = 5, 1, IF(H26 = 4, 0.75, IF(H26 = 3, 0.5, IF(H26 = 2, 0.25, IF(H26 = 1, 0.05, IF(H26 = "&lt;1%", 0.01, IF(H26 = "", "")))))))</f>
        <v>1</v>
      </c>
      <c r="J26" s="31" t="s">
        <v>222</v>
      </c>
      <c r="K26" s="31" t="s">
        <v>223</v>
      </c>
      <c r="L26" s="29" t="s">
        <v>31</v>
      </c>
      <c r="M26" s="29">
        <v>1</v>
      </c>
      <c r="N26" s="44">
        <f>IF(M26 = 5, 1, IF(M26 = 4, 0.75, IF(M26 = 3, 0.5, IF(M26 = 2, 0.25, IF(M26 = 1, 0.05, IF(M26 = "&lt;1%", 0.01, IF(M26 = "", "")))))))</f>
        <v>0.05</v>
      </c>
      <c r="O26" s="29" t="s">
        <v>217</v>
      </c>
      <c r="P26" s="29" t="s">
        <v>196</v>
      </c>
      <c r="Q26" s="31" t="s">
        <v>31</v>
      </c>
      <c r="R26" s="31">
        <v>4</v>
      </c>
      <c r="S26" s="44">
        <f>IF(R26 = 5, 1, IF(R26 = 4, 0.75, IF(R26 = 3, 0.5, IF(R26 = 2, 0.25, IF(R26 = 1, 0.05, IF(R26 = "&lt;1%", 0.01, IF(R26 = "", "")))))))</f>
        <v>0.75</v>
      </c>
      <c r="T26" s="31" t="s">
        <v>224</v>
      </c>
      <c r="U26" s="31" t="s">
        <v>225</v>
      </c>
      <c r="V26" s="29" t="s">
        <v>31</v>
      </c>
      <c r="W26" s="29">
        <v>5</v>
      </c>
      <c r="X26" s="44">
        <f>IF(W26 = 5, 1, IF(W26 = 4, 0.75, IF(W26 = 3, 0.5, IF(W26 = 2, 0.25, IF(W26 = 1, 0.05, IF(W26 = "&lt;1%", 0.01, IF(W26 = "", "")))))))</f>
        <v>1</v>
      </c>
      <c r="Y26" s="29" t="s">
        <v>192</v>
      </c>
      <c r="Z26" s="29" t="s">
        <v>223</v>
      </c>
      <c r="AA26" s="31" t="s">
        <v>31</v>
      </c>
      <c r="AB26" s="31">
        <v>5</v>
      </c>
      <c r="AC26" s="44">
        <f>IF(AB26 = 5, 1, IF(AB26 = 4, 0.75, IF(AB26 = 3, 0.5, IF(AB26 = 2, 0.25, IF(AB26 = 1, 0.05, IF(AB26 = "&lt;1%", 0.01, IF(AB26 = "", "")))))))</f>
        <v>1</v>
      </c>
      <c r="AD26" s="31" t="s">
        <v>224</v>
      </c>
      <c r="AE26" s="31" t="s">
        <v>225</v>
      </c>
    </row>
    <row r="27" spans="1:31" x14ac:dyDescent="0.2">
      <c r="A27" s="2">
        <v>24</v>
      </c>
      <c r="B27" s="25" t="s">
        <v>241</v>
      </c>
      <c r="C27" s="25" t="s">
        <v>242</v>
      </c>
      <c r="D27" s="25" t="s">
        <v>37</v>
      </c>
      <c r="E27" s="25" t="s">
        <v>30</v>
      </c>
      <c r="F27" s="27" t="s">
        <v>31</v>
      </c>
      <c r="G27" s="31" t="s">
        <v>32</v>
      </c>
      <c r="H27" s="31"/>
      <c r="I27" s="44" t="str">
        <f>IF(H27 = 5, 1, IF(H27 = 4, 0.75, IF(H27 = 3, 0.5, IF(H27 = 2, 0.25, IF(H27 = 1, 0.05, IF(H27 = "&lt;1%", 0.01, IF(H27 = "", "")))))))</f>
        <v/>
      </c>
      <c r="J27" s="31"/>
      <c r="K27" s="31"/>
      <c r="L27" s="29" t="s">
        <v>31</v>
      </c>
      <c r="M27" s="29">
        <v>1</v>
      </c>
      <c r="N27" s="44">
        <f>IF(M27 = 5, 1, IF(M27 = 4, 0.75, IF(M27 = 3, 0.5, IF(M27 = 2, 0.25, IF(M27 = 1, 0.05, IF(M27 = "&lt;1%", 0.01, IF(M27 = "", "")))))))</f>
        <v>0.05</v>
      </c>
      <c r="O27" s="29" t="s">
        <v>217</v>
      </c>
      <c r="P27" s="29" t="s">
        <v>196</v>
      </c>
      <c r="Q27" s="31" t="s">
        <v>31</v>
      </c>
      <c r="R27" s="31">
        <v>1</v>
      </c>
      <c r="S27" s="44">
        <f>IF(R27 = 5, 1, IF(R27 = 4, 0.75, IF(R27 = 3, 0.5, IF(R27 = 2, 0.25, IF(R27 = 1, 0.05, IF(R27 = "&lt;1%", 0.01, IF(R27 = "", "")))))))</f>
        <v>0.05</v>
      </c>
      <c r="T27" s="31" t="s">
        <v>217</v>
      </c>
      <c r="U27" s="31" t="s">
        <v>196</v>
      </c>
      <c r="V27" s="29" t="s">
        <v>32</v>
      </c>
      <c r="W27" s="29"/>
      <c r="X27" s="44" t="str">
        <f>IF(W27 = 5, 1, IF(W27 = 4, 0.75, IF(W27 = 3, 0.5, IF(W27 = 2, 0.25, IF(W27 = 1, 0.05, IF(W27 = "&lt;1%", 0.01, IF(W27 = "", "")))))))</f>
        <v/>
      </c>
      <c r="Y27" s="29"/>
      <c r="Z27" s="29"/>
      <c r="AA27" s="31" t="s">
        <v>32</v>
      </c>
      <c r="AB27" s="31"/>
      <c r="AC27" s="44" t="str">
        <f>IF(AB27 = 5, 1, IF(AB27 = 4, 0.75, IF(AB27 = 3, 0.5, IF(AB27 = 2, 0.25, IF(AB27 = 1, 0.05, IF(AB27 = "&lt;1%", 0.01, IF(AB27 = "", "")))))))</f>
        <v/>
      </c>
      <c r="AD27" s="31"/>
      <c r="AE27" s="31"/>
    </row>
    <row r="28" spans="1:31" x14ac:dyDescent="0.2">
      <c r="A28" s="2">
        <v>25</v>
      </c>
      <c r="B28" s="25" t="s">
        <v>230</v>
      </c>
      <c r="C28" s="25" t="s">
        <v>231</v>
      </c>
      <c r="D28" s="25" t="s">
        <v>43</v>
      </c>
      <c r="E28" s="25" t="s">
        <v>30</v>
      </c>
      <c r="F28" s="27" t="s">
        <v>32</v>
      </c>
      <c r="G28" s="31" t="s">
        <v>32</v>
      </c>
      <c r="H28" s="31"/>
      <c r="I28" s="44" t="str">
        <f>IF(H28 = 5, 1, IF(H28 = 4, 0.75, IF(H28 = 3, 0.5, IF(H28 = 2, 0.25, IF(H28 = 1, 0.05, IF(H28 = "&lt;1%", 0.01, IF(H28 = "", "")))))))</f>
        <v/>
      </c>
      <c r="J28" s="31"/>
      <c r="K28" s="31"/>
      <c r="L28" s="29" t="s">
        <v>32</v>
      </c>
      <c r="M28" s="29"/>
      <c r="N28" s="44" t="str">
        <f>IF(M28 = 5, 1, IF(M28 = 4, 0.75, IF(M28 = 3, 0.5, IF(M28 = 2, 0.25, IF(M28 = 1, 0.05, IF(M28 = "&lt;1%", 0.01, IF(M28 = "", "")))))))</f>
        <v/>
      </c>
      <c r="O28" s="29"/>
      <c r="P28" s="29"/>
      <c r="Q28" s="31" t="s">
        <v>31</v>
      </c>
      <c r="R28" s="31">
        <v>1</v>
      </c>
      <c r="S28" s="44">
        <f>IF(R28 = 5, 1, IF(R28 = 4, 0.75, IF(R28 = 3, 0.5, IF(R28 = 2, 0.25, IF(R28 = 1, 0.05, IF(R28 = "&lt;1%", 0.01, IF(R28 = "", "")))))))</f>
        <v>0.05</v>
      </c>
      <c r="T28" s="31" t="s">
        <v>232</v>
      </c>
      <c r="U28" s="31" t="s">
        <v>46</v>
      </c>
      <c r="V28" s="29" t="s">
        <v>32</v>
      </c>
      <c r="W28" s="29"/>
      <c r="X28" s="44" t="str">
        <f>IF(W28 = 5, 1, IF(W28 = 4, 0.75, IF(W28 = 3, 0.5, IF(W28 = 2, 0.25, IF(W28 = 1, 0.05, IF(W28 = "&lt;1%", 0.01, IF(W28 = "", "")))))))</f>
        <v/>
      </c>
      <c r="Y28" s="29"/>
      <c r="Z28" s="29"/>
      <c r="AA28" s="31" t="s">
        <v>32</v>
      </c>
      <c r="AB28" s="31"/>
      <c r="AC28" s="44" t="str">
        <f>IF(AB28 = 5, 1, IF(AB28 = 4, 0.75, IF(AB28 = 3, 0.5, IF(AB28 = 2, 0.25, IF(AB28 = 1, 0.05, IF(AB28 = "&lt;1%", 0.01, IF(AB28 = "", "")))))))</f>
        <v/>
      </c>
      <c r="AD28" s="31"/>
      <c r="AE28" s="31"/>
    </row>
    <row r="29" spans="1:31" x14ac:dyDescent="0.2">
      <c r="A29" s="2">
        <v>26</v>
      </c>
      <c r="B29" s="25" t="s">
        <v>239</v>
      </c>
      <c r="C29" s="25" t="s">
        <v>240</v>
      </c>
      <c r="D29" s="25" t="s">
        <v>55</v>
      </c>
      <c r="E29" s="25" t="s">
        <v>30</v>
      </c>
      <c r="F29" s="27" t="s">
        <v>31</v>
      </c>
      <c r="G29" s="31" t="s">
        <v>32</v>
      </c>
      <c r="H29" s="31"/>
      <c r="I29" s="44" t="str">
        <f>IF(H29 = 5, 1, IF(H29 = 4, 0.75, IF(H29 = 3, 0.5, IF(H29 = 2, 0.25, IF(H29 = 1, 0.05, IF(H29 = "&lt;1%", 0.01, IF(H29 = "", "")))))))</f>
        <v/>
      </c>
      <c r="J29" s="31"/>
      <c r="K29" s="31"/>
      <c r="L29" s="29" t="s">
        <v>32</v>
      </c>
      <c r="M29" s="29"/>
      <c r="N29" s="44" t="str">
        <f>IF(M29 = 5, 1, IF(M29 = 4, 0.75, IF(M29 = 3, 0.5, IF(M29 = 2, 0.25, IF(M29 = 1, 0.05, IF(M29 = "&lt;1%", 0.01, IF(M29 = "", "")))))))</f>
        <v/>
      </c>
      <c r="O29" s="29"/>
      <c r="P29" s="29"/>
      <c r="Q29" s="31" t="s">
        <v>32</v>
      </c>
      <c r="R29" s="31"/>
      <c r="S29" s="44" t="str">
        <f>IF(R29 = 5, 1, IF(R29 = 4, 0.75, IF(R29 = 3, 0.5, IF(R29 = 2, 0.25, IF(R29 = 1, 0.05, IF(R29 = "&lt;1%", 0.01, IF(R29 = "", "")))))))</f>
        <v/>
      </c>
      <c r="T29" s="31"/>
      <c r="U29" s="31"/>
      <c r="V29" s="29" t="s">
        <v>31</v>
      </c>
      <c r="W29" s="29">
        <v>1</v>
      </c>
      <c r="X29" s="44">
        <f>IF(W29 = 5, 1, IF(W29 = 4, 0.75, IF(W29 = 3, 0.5, IF(W29 = 2, 0.25, IF(W29 = 1, 0.05, IF(W29 = "&lt;1%", 0.01, IF(W29 = "", "")))))))</f>
        <v>0.05</v>
      </c>
      <c r="Y29" s="29" t="s">
        <v>232</v>
      </c>
      <c r="Z29" s="29" t="s">
        <v>63</v>
      </c>
      <c r="AA29" s="31" t="s">
        <v>32</v>
      </c>
      <c r="AB29" s="31"/>
      <c r="AC29" s="44" t="str">
        <f>IF(AB29 = 5, 1, IF(AB29 = 4, 0.75, IF(AB29 = 3, 0.5, IF(AB29 = 2, 0.25, IF(AB29 = 1, 0.05, IF(AB29 = "&lt;1%", 0.01, IF(AB29 = "", "")))))))</f>
        <v/>
      </c>
      <c r="AD29" s="31"/>
      <c r="AE29" s="31"/>
    </row>
    <row r="30" spans="1:31" x14ac:dyDescent="0.2">
      <c r="A30" s="2">
        <v>27</v>
      </c>
      <c r="B30" s="25" t="s">
        <v>215</v>
      </c>
      <c r="C30" s="25" t="s">
        <v>216</v>
      </c>
      <c r="D30" s="25" t="s">
        <v>37</v>
      </c>
      <c r="E30" s="25" t="s">
        <v>30</v>
      </c>
      <c r="F30" s="27" t="s">
        <v>32</v>
      </c>
      <c r="G30" s="31" t="s">
        <v>31</v>
      </c>
      <c r="H30" s="31">
        <v>2</v>
      </c>
      <c r="I30" s="44">
        <f>IF(H30 = 5, 1, IF(H30 = 4, 0.75, IF(H30 = 3, 0.5, IF(H30 = 2, 0.25, IF(H30 = 1, 0.05, IF(H30 = "&lt;1%", 0.01, IF(H30 = "", "")))))))</f>
        <v>0.25</v>
      </c>
      <c r="J30" s="31" t="s">
        <v>217</v>
      </c>
      <c r="K30" s="31" t="s">
        <v>46</v>
      </c>
      <c r="L30" s="29" t="s">
        <v>31</v>
      </c>
      <c r="M30" s="29">
        <v>2</v>
      </c>
      <c r="N30" s="44">
        <f>IF(M30 = 5, 1, IF(M30 = 4, 0.75, IF(M30 = 3, 0.5, IF(M30 = 2, 0.25, IF(M30 = 1, 0.05, IF(M30 = "&lt;1%", 0.01, IF(M30 = "", "")))))))</f>
        <v>0.25</v>
      </c>
      <c r="O30" s="29" t="s">
        <v>218</v>
      </c>
      <c r="P30" s="29" t="s">
        <v>219</v>
      </c>
      <c r="Q30" s="31" t="s">
        <v>32</v>
      </c>
      <c r="R30" s="31"/>
      <c r="S30" s="44" t="str">
        <f>IF(R30 = 5, 1, IF(R30 = 4, 0.75, IF(R30 = 3, 0.5, IF(R30 = 2, 0.25, IF(R30 = 1, 0.05, IF(R30 = "&lt;1%", 0.01, IF(R30 = "", "")))))))</f>
        <v/>
      </c>
      <c r="T30" s="31"/>
      <c r="U30" s="31"/>
      <c r="V30" s="29" t="s">
        <v>31</v>
      </c>
      <c r="W30" s="29">
        <v>4</v>
      </c>
      <c r="X30" s="44">
        <f>IF(W30 = 5, 1, IF(W30 = 4, 0.75, IF(W30 = 3, 0.5, IF(W30 = 2, 0.25, IF(W30 = 1, 0.05, IF(W30 = "&lt;1%", 0.01, IF(W30 = "", "")))))))</f>
        <v>0.75</v>
      </c>
      <c r="Y30" s="29" t="s">
        <v>199</v>
      </c>
      <c r="Z30" s="29" t="s">
        <v>63</v>
      </c>
      <c r="AA30" s="31" t="s">
        <v>31</v>
      </c>
      <c r="AB30" s="31">
        <v>2</v>
      </c>
      <c r="AC30" s="44">
        <f>IF(AB30 = 5, 1, IF(AB30 = 4, 0.75, IF(AB30 = 3, 0.5, IF(AB30 = 2, 0.25, IF(AB30 = 1, 0.05, IF(AB30 = "&lt;1%", 0.01, IF(AB30 = "", "")))))))</f>
        <v>0.25</v>
      </c>
      <c r="AD30" s="31" t="s">
        <v>199</v>
      </c>
      <c r="AE30" s="31" t="s">
        <v>63</v>
      </c>
    </row>
    <row r="31" spans="1:31" x14ac:dyDescent="0.2">
      <c r="A31" s="2">
        <v>28</v>
      </c>
      <c r="B31" s="25" t="s">
        <v>233</v>
      </c>
      <c r="C31" s="25" t="s">
        <v>234</v>
      </c>
      <c r="D31" s="25" t="s">
        <v>37</v>
      </c>
      <c r="E31" s="25" t="s">
        <v>30</v>
      </c>
      <c r="F31" s="27" t="s">
        <v>31</v>
      </c>
      <c r="G31" s="31" t="s">
        <v>32</v>
      </c>
      <c r="H31" s="31"/>
      <c r="I31" s="44" t="str">
        <f>IF(H31 = 5, 1, IF(H31 = 4, 0.75, IF(H31 = 3, 0.5, IF(H31 = 2, 0.25, IF(H31 = 1, 0.05, IF(H31 = "&lt;1%", 0.01, IF(H31 = "", "")))))))</f>
        <v/>
      </c>
      <c r="J31" s="31"/>
      <c r="K31" s="31"/>
      <c r="L31" s="29" t="s">
        <v>32</v>
      </c>
      <c r="M31" s="29"/>
      <c r="N31" s="44" t="str">
        <f>IF(M31 = 5, 1, IF(M31 = 4, 0.75, IF(M31 = 3, 0.5, IF(M31 = 2, 0.25, IF(M31 = 1, 0.05, IF(M31 = "&lt;1%", 0.01, IF(M31 = "", "")))))))</f>
        <v/>
      </c>
      <c r="O31" s="29"/>
      <c r="P31" s="29"/>
      <c r="Q31" s="31" t="s">
        <v>31</v>
      </c>
      <c r="R31" s="31">
        <v>1</v>
      </c>
      <c r="S31" s="44">
        <f>IF(R31 = 5, 1, IF(R31 = 4, 0.75, IF(R31 = 3, 0.5, IF(R31 = 2, 0.25, IF(R31 = 1, 0.05, IF(R31 = "&lt;1%", 0.01, IF(R31 = "", "")))))))</f>
        <v>0.05</v>
      </c>
      <c r="T31" s="31" t="s">
        <v>232</v>
      </c>
      <c r="U31" s="31" t="s">
        <v>235</v>
      </c>
      <c r="V31" s="29" t="s">
        <v>32</v>
      </c>
      <c r="W31" s="29"/>
      <c r="X31" s="44" t="str">
        <f>IF(W31 = 5, 1, IF(W31 = 4, 0.75, IF(W31 = 3, 0.5, IF(W31 = 2, 0.25, IF(W31 = 1, 0.05, IF(W31 = "&lt;1%", 0.01, IF(W31 = "", "")))))))</f>
        <v/>
      </c>
      <c r="Y31" s="29"/>
      <c r="Z31" s="29"/>
      <c r="AA31" s="31" t="s">
        <v>32</v>
      </c>
      <c r="AB31" s="31"/>
      <c r="AC31" s="44" t="str">
        <f>IF(AB31 = 5, 1, IF(AB31 = 4, 0.75, IF(AB31 = 3, 0.5, IF(AB31 = 2, 0.25, IF(AB31 = 1, 0.05, IF(AB31 = "&lt;1%", 0.01, IF(AB31 = "", "")))))))</f>
        <v/>
      </c>
      <c r="AD31" s="31"/>
      <c r="AE31" s="31"/>
    </row>
    <row r="32" spans="1:31" x14ac:dyDescent="0.2">
      <c r="A32" s="2">
        <v>29</v>
      </c>
      <c r="B32" s="25" t="s">
        <v>236</v>
      </c>
      <c r="C32" s="25" t="s">
        <v>237</v>
      </c>
      <c r="D32" s="25" t="s">
        <v>43</v>
      </c>
      <c r="E32" s="25" t="s">
        <v>30</v>
      </c>
      <c r="F32" s="27" t="s">
        <v>31</v>
      </c>
      <c r="G32" s="31" t="s">
        <v>32</v>
      </c>
      <c r="H32" s="31"/>
      <c r="I32" s="44" t="str">
        <f>IF(H32 = 5, 1, IF(H32 = 4, 0.75, IF(H32 = 3, 0.5, IF(H32 = 2, 0.25, IF(H32 = 1, 0.05, IF(H32 = "&lt;1%", 0.01, IF(H32 = "", "")))))))</f>
        <v/>
      </c>
      <c r="J32" s="31"/>
      <c r="K32" s="31"/>
      <c r="L32" s="29" t="s">
        <v>32</v>
      </c>
      <c r="M32" s="29"/>
      <c r="N32" s="44" t="str">
        <f>IF(M32 = 5, 1, IF(M32 = 4, 0.75, IF(M32 = 3, 0.5, IF(M32 = 2, 0.25, IF(M32 = 1, 0.05, IF(M32 = "&lt;1%", 0.01, IF(M32 = "", "")))))))</f>
        <v/>
      </c>
      <c r="O32" s="29"/>
      <c r="P32" s="29"/>
      <c r="Q32" s="31" t="s">
        <v>31</v>
      </c>
      <c r="R32" s="31">
        <v>1</v>
      </c>
      <c r="S32" s="44">
        <f>IF(R32 = 5, 1, IF(R32 = 4, 0.75, IF(R32 = 3, 0.5, IF(R32 = 2, 0.25, IF(R32 = 1, 0.05, IF(R32 = "&lt;1%", 0.01, IF(R32 = "", "")))))))</f>
        <v>0.05</v>
      </c>
      <c r="T32" s="31" t="s">
        <v>232</v>
      </c>
      <c r="U32" s="31" t="s">
        <v>238</v>
      </c>
      <c r="V32" s="29" t="s">
        <v>32</v>
      </c>
      <c r="W32" s="29"/>
      <c r="X32" s="44" t="str">
        <f>IF(W32 = 5, 1, IF(W32 = 4, 0.75, IF(W32 = 3, 0.5, IF(W32 = 2, 0.25, IF(W32 = 1, 0.05, IF(W32 = "&lt;1%", 0.01, IF(W32 = "", "")))))))</f>
        <v/>
      </c>
      <c r="Y32" s="29"/>
      <c r="Z32" s="29"/>
      <c r="AA32" s="31" t="s">
        <v>32</v>
      </c>
      <c r="AB32" s="31"/>
      <c r="AC32" s="44" t="str">
        <f>IF(AB32 = 5, 1, IF(AB32 = 4, 0.75, IF(AB32 = 3, 0.5, IF(AB32 = 2, 0.25, IF(AB32 = 1, 0.05, IF(AB32 = "&lt;1%", 0.01, IF(AB32 = "", "")))))))</f>
        <v/>
      </c>
      <c r="AD32" s="31"/>
      <c r="AE32" s="31"/>
    </row>
    <row r="33" spans="1:31" x14ac:dyDescent="0.2">
      <c r="A33" s="2">
        <v>30</v>
      </c>
      <c r="B33" s="25" t="s">
        <v>197</v>
      </c>
      <c r="C33" s="25" t="s">
        <v>198</v>
      </c>
      <c r="D33" s="25" t="s">
        <v>37</v>
      </c>
      <c r="E33" s="25" t="s">
        <v>30</v>
      </c>
      <c r="F33" s="27" t="s">
        <v>32</v>
      </c>
      <c r="G33" s="31" t="s">
        <v>32</v>
      </c>
      <c r="H33" s="31"/>
      <c r="I33" s="44" t="str">
        <f>IF(H33 = 5, 1, IF(H33 = 4, 0.75, IF(H33 = 3, 0.5, IF(H33 = 2, 0.25, IF(H33 = 1, 0.05, IF(H33 = "&lt;1%", 0.01, IF(H33 = "", "")))))))</f>
        <v/>
      </c>
      <c r="J33" s="31"/>
      <c r="K33" s="31"/>
      <c r="L33" s="29" t="s">
        <v>31</v>
      </c>
      <c r="M33" s="29">
        <v>3</v>
      </c>
      <c r="N33" s="44">
        <f>IF(M33 = 5, 1, IF(M33 = 4, 0.75, IF(M33 = 3, 0.5, IF(M33 = 2, 0.25, IF(M33 = 1, 0.05, IF(M33 = "&lt;1%", 0.01, IF(M33 = "", "")))))))</f>
        <v>0.5</v>
      </c>
      <c r="O33" s="29" t="s">
        <v>229</v>
      </c>
      <c r="P33" s="29" t="s">
        <v>46</v>
      </c>
      <c r="Q33" s="31" t="s">
        <v>32</v>
      </c>
      <c r="R33" s="31"/>
      <c r="S33" s="44" t="str">
        <f>IF(R33 = 5, 1, IF(R33 = 4, 0.75, IF(R33 = 3, 0.5, IF(R33 = 2, 0.25, IF(R33 = 1, 0.05, IF(R33 = "&lt;1%", 0.01, IF(R33 = "", "")))))))</f>
        <v/>
      </c>
      <c r="T33" s="31"/>
      <c r="U33" s="31"/>
      <c r="V33" s="29" t="s">
        <v>32</v>
      </c>
      <c r="W33" s="29"/>
      <c r="X33" s="44" t="str">
        <f>IF(W33 = 5, 1, IF(W33 = 4, 0.75, IF(W33 = 3, 0.5, IF(W33 = 2, 0.25, IF(W33 = 1, 0.05, IF(W33 = "&lt;1%", 0.01, IF(W33 = "", "")))))))</f>
        <v/>
      </c>
      <c r="Y33" s="29"/>
      <c r="Z33" s="29"/>
      <c r="AA33" s="31" t="s">
        <v>32</v>
      </c>
      <c r="AB33" s="31"/>
      <c r="AC33" s="44" t="str">
        <f>IF(AB33 = 5, 1, IF(AB33 = 4, 0.75, IF(AB33 = 3, 0.5, IF(AB33 = 2, 0.25, IF(AB33 = 1, 0.05, IF(AB33 = "&lt;1%", 0.01, IF(AB33 = "", "")))))))</f>
        <v/>
      </c>
      <c r="AD33" s="31"/>
      <c r="AE33" s="31"/>
    </row>
    <row r="34" spans="1:31" x14ac:dyDescent="0.2">
      <c r="A34" s="2">
        <v>31</v>
      </c>
      <c r="B34" s="25" t="s">
        <v>226</v>
      </c>
      <c r="C34" s="25" t="s">
        <v>227</v>
      </c>
      <c r="D34" s="25" t="s">
        <v>37</v>
      </c>
      <c r="E34" s="25" t="s">
        <v>30</v>
      </c>
      <c r="F34" s="27" t="s">
        <v>32</v>
      </c>
      <c r="G34" s="31" t="s">
        <v>32</v>
      </c>
      <c r="H34" s="31"/>
      <c r="I34" s="44" t="str">
        <f>IF(H34 = 5, 1, IF(H34 = 4, 0.75, IF(H34 = 3, 0.5, IF(H34 = 2, 0.25, IF(H34 = 1, 0.05, IF(H34 = "&lt;1%", 0.01, IF(H34 = "", "")))))))</f>
        <v/>
      </c>
      <c r="J34" s="31"/>
      <c r="K34" s="31"/>
      <c r="L34" s="29" t="s">
        <v>31</v>
      </c>
      <c r="M34" s="29">
        <v>1</v>
      </c>
      <c r="N34" s="44">
        <f>IF(M34 = 5, 1, IF(M34 = 4, 0.75, IF(M34 = 3, 0.5, IF(M34 = 2, 0.25, IF(M34 = 1, 0.05, IF(M34 = "&lt;1%", 0.01, IF(M34 = "", "")))))))</f>
        <v>0.05</v>
      </c>
      <c r="O34" s="29" t="s">
        <v>228</v>
      </c>
      <c r="P34" s="29" t="s">
        <v>196</v>
      </c>
      <c r="Q34" s="31" t="s">
        <v>32</v>
      </c>
      <c r="R34" s="31"/>
      <c r="S34" s="44" t="str">
        <f>IF(R34 = 5, 1, IF(R34 = 4, 0.75, IF(R34 = 3, 0.5, IF(R34 = 2, 0.25, IF(R34 = 1, 0.05, IF(R34 = "&lt;1%", 0.01, IF(R34 = "", "")))))))</f>
        <v/>
      </c>
      <c r="T34" s="31"/>
      <c r="U34" s="31"/>
      <c r="V34" s="29" t="s">
        <v>32</v>
      </c>
      <c r="W34" s="29"/>
      <c r="X34" s="44" t="str">
        <f>IF(W34 = 5, 1, IF(W34 = 4, 0.75, IF(W34 = 3, 0.5, IF(W34 = 2, 0.25, IF(W34 = 1, 0.05, IF(W34 = "&lt;1%", 0.01, IF(W34 = "", "")))))))</f>
        <v/>
      </c>
      <c r="Y34" s="29"/>
      <c r="Z34" s="29"/>
      <c r="AA34" s="31" t="s">
        <v>32</v>
      </c>
      <c r="AB34" s="31"/>
      <c r="AC34" s="44" t="str">
        <f>IF(AB34 = 5, 1, IF(AB34 = 4, 0.75, IF(AB34 = 3, 0.5, IF(AB34 = 2, 0.25, IF(AB34 = 1, 0.05, IF(AB34 = "&lt;1%", 0.01, IF(AB34 = "", "")))))))</f>
        <v/>
      </c>
      <c r="AD34" s="31"/>
      <c r="AE34" s="31"/>
    </row>
    <row r="35" spans="1:31" x14ac:dyDescent="0.2">
      <c r="A35" s="2">
        <v>32</v>
      </c>
      <c r="B35" s="25" t="s">
        <v>88</v>
      </c>
      <c r="C35" s="25" t="s">
        <v>89</v>
      </c>
      <c r="D35" s="25" t="s">
        <v>55</v>
      </c>
      <c r="E35" s="25" t="s">
        <v>35</v>
      </c>
      <c r="F35" s="27" t="s">
        <v>32</v>
      </c>
      <c r="G35" s="31" t="s">
        <v>32</v>
      </c>
      <c r="H35" s="31"/>
      <c r="I35" s="44" t="str">
        <f>IF(H35 = 5, 1, IF(H35 = 4, 0.75, IF(H35 = 3, 0.5, IF(H35 = 2, 0.25, IF(H35 = 1, 0.05, IF(H35 = "&lt;1%", 0.01, IF(H35 = "", "")))))))</f>
        <v/>
      </c>
      <c r="J35" s="31"/>
      <c r="K35" s="31"/>
      <c r="L35" s="29" t="s">
        <v>32</v>
      </c>
      <c r="M35" s="29"/>
      <c r="N35" s="44" t="str">
        <f>IF(M35 = 5, 1, IF(M35 = 4, 0.75, IF(M35 = 3, 0.5, IF(M35 = 2, 0.25, IF(M35 = 1, 0.05, IF(M35 = "&lt;1%", 0.01, IF(M35 = "", "")))))))</f>
        <v/>
      </c>
      <c r="O35" s="29"/>
      <c r="P35" s="29"/>
      <c r="Q35" s="31" t="s">
        <v>32</v>
      </c>
      <c r="R35" s="31"/>
      <c r="S35" s="44" t="str">
        <f>IF(R35 = 5, 1, IF(R35 = 4, 0.75, IF(R35 = 3, 0.5, IF(R35 = 2, 0.25, IF(R35 = 1, 0.05, IF(R35 = "&lt;1%", 0.01, IF(R35 = "", "")))))))</f>
        <v/>
      </c>
      <c r="T35" s="31"/>
      <c r="U35" s="31"/>
      <c r="V35" s="29" t="s">
        <v>31</v>
      </c>
      <c r="W35" s="29">
        <v>2</v>
      </c>
      <c r="X35" s="44">
        <f>IF(W35 = 5, 1, IF(W35 = 4, 0.75, IF(W35 = 3, 0.5, IF(W35 = 2, 0.25, IF(W35 = 1, 0.05, IF(W35 = "&lt;1%", 0.01, IF(W35 = "", "")))))))</f>
        <v>0.25</v>
      </c>
      <c r="Y35" s="29"/>
      <c r="Z35" s="29" t="s">
        <v>90</v>
      </c>
      <c r="AA35" s="31"/>
      <c r="AB35" s="31"/>
      <c r="AC35" s="44" t="str">
        <f>IF(AB35 = 5, 1, IF(AB35 = 4, 0.75, IF(AB35 = 3, 0.5, IF(AB35 = 2, 0.25, IF(AB35 = 1, 0.05, IF(AB35 = "&lt;1%", 0.01, IF(AB35 = "", "")))))))</f>
        <v/>
      </c>
      <c r="AD35" s="31"/>
      <c r="AE35" s="31"/>
    </row>
    <row r="36" spans="1:31" x14ac:dyDescent="0.2">
      <c r="A36" s="2">
        <v>33</v>
      </c>
      <c r="B36" s="25" t="s">
        <v>70</v>
      </c>
      <c r="C36" s="25" t="s">
        <v>71</v>
      </c>
      <c r="D36" s="25" t="s">
        <v>37</v>
      </c>
      <c r="E36" s="25" t="s">
        <v>35</v>
      </c>
      <c r="F36" s="27" t="s">
        <v>32</v>
      </c>
      <c r="G36" s="31" t="s">
        <v>32</v>
      </c>
      <c r="H36" s="31"/>
      <c r="I36" s="44" t="str">
        <f>IF(H36 = 5, 1, IF(H36 = 4, 0.75, IF(H36 = 3, 0.5, IF(H36 = 2, 0.25, IF(H36 = 1, 0.05, IF(H36 = "&lt;1%", 0.01, IF(H36 = "", "")))))))</f>
        <v/>
      </c>
      <c r="J36" s="31"/>
      <c r="K36" s="31"/>
      <c r="L36" s="29" t="s">
        <v>31</v>
      </c>
      <c r="M36" s="29">
        <v>2</v>
      </c>
      <c r="N36" s="44">
        <f>IF(M36 = 5, 1, IF(M36 = 4, 0.75, IF(M36 = 3, 0.5, IF(M36 = 2, 0.25, IF(M36 = 1, 0.05, IF(M36 = "&lt;1%", 0.01, IF(M36 = "", "")))))))</f>
        <v>0.25</v>
      </c>
      <c r="O36" s="29" t="s">
        <v>72</v>
      </c>
      <c r="P36" s="29" t="s">
        <v>73</v>
      </c>
      <c r="Q36" s="31" t="s">
        <v>32</v>
      </c>
      <c r="R36" s="31"/>
      <c r="S36" s="44" t="str">
        <f>IF(R36 = 5, 1, IF(R36 = 4, 0.75, IF(R36 = 3, 0.5, IF(R36 = 2, 0.25, IF(R36 = 1, 0.05, IF(R36 = "&lt;1%", 0.01, IF(R36 = "", "")))))))</f>
        <v/>
      </c>
      <c r="T36" s="31"/>
      <c r="U36" s="31"/>
      <c r="V36" s="29" t="s">
        <v>32</v>
      </c>
      <c r="W36" s="29"/>
      <c r="X36" s="44" t="str">
        <f>IF(W36 = 5, 1, IF(W36 = 4, 0.75, IF(W36 = 3, 0.5, IF(W36 = 2, 0.25, IF(W36 = 1, 0.05, IF(W36 = "&lt;1%", 0.01, IF(W36 = "", "")))))))</f>
        <v/>
      </c>
      <c r="Y36" s="29"/>
      <c r="Z36" s="29"/>
      <c r="AA36" s="31" t="s">
        <v>32</v>
      </c>
      <c r="AB36" s="31"/>
      <c r="AC36" s="44" t="str">
        <f>IF(AB36 = 5, 1, IF(AB36 = 4, 0.75, IF(AB36 = 3, 0.5, IF(AB36 = 2, 0.25, IF(AB36 = 1, 0.05, IF(AB36 = "&lt;1%", 0.01, IF(AB36 = "", "")))))))</f>
        <v/>
      </c>
      <c r="AD36" s="31"/>
      <c r="AE36" s="31"/>
    </row>
    <row r="37" spans="1:31" x14ac:dyDescent="0.2">
      <c r="A37" s="2">
        <v>34</v>
      </c>
      <c r="B37" s="25" t="s">
        <v>60</v>
      </c>
      <c r="C37" s="25" t="s">
        <v>61</v>
      </c>
      <c r="D37" s="25" t="s">
        <v>37</v>
      </c>
      <c r="E37" s="25" t="s">
        <v>35</v>
      </c>
      <c r="F37" s="27" t="s">
        <v>31</v>
      </c>
      <c r="G37" s="31" t="s">
        <v>31</v>
      </c>
      <c r="H37" s="31">
        <v>5</v>
      </c>
      <c r="I37" s="44">
        <f>IF(H37 = 5, 1, IF(H37 = 4, 0.75, IF(H37 = 3, 0.5, IF(H37 = 2, 0.25, IF(H37 = 1, 0.05, IF(H37 = "&lt;1%", 0.01, IF(H37 = "", "")))))))</f>
        <v>1</v>
      </c>
      <c r="J37" s="31" t="s">
        <v>62</v>
      </c>
      <c r="K37" s="31" t="s">
        <v>63</v>
      </c>
      <c r="L37" s="29" t="s">
        <v>31</v>
      </c>
      <c r="M37" s="29">
        <v>3</v>
      </c>
      <c r="N37" s="44">
        <f>IF(M37 = 5, 1, IF(M37 = 4, 0.75, IF(M37 = 3, 0.5, IF(M37 = 2, 0.25, IF(M37 = 1, 0.05, IF(M37 = "&lt;1%", 0.01, IF(M37 = "", "")))))))</f>
        <v>0.5</v>
      </c>
      <c r="O37" s="29"/>
      <c r="P37" s="29"/>
      <c r="Q37" s="31" t="s">
        <v>31</v>
      </c>
      <c r="R37" s="31">
        <v>3</v>
      </c>
      <c r="S37" s="44">
        <f>IF(R37 = 5, 1, IF(R37 = 4, 0.75, IF(R37 = 3, 0.5, IF(R37 = 2, 0.25, IF(R37 = 1, 0.05, IF(R37 = "&lt;1%", 0.01, IF(R37 = "", "")))))))</f>
        <v>0.5</v>
      </c>
      <c r="T37" s="31"/>
      <c r="U37" s="31"/>
      <c r="V37" s="29" t="s">
        <v>32</v>
      </c>
      <c r="W37" s="29"/>
      <c r="X37" s="44" t="str">
        <f>IF(W37 = 5, 1, IF(W37 = 4, 0.75, IF(W37 = 3, 0.5, IF(W37 = 2, 0.25, IF(W37 = 1, 0.05, IF(W37 = "&lt;1%", 0.01, IF(W37 = "", "")))))))</f>
        <v/>
      </c>
      <c r="Y37" s="29"/>
      <c r="Z37" s="29"/>
      <c r="AA37" s="31" t="s">
        <v>31</v>
      </c>
      <c r="AB37" s="31">
        <v>4</v>
      </c>
      <c r="AC37" s="44">
        <f>IF(AB37 = 5, 1, IF(AB37 = 4, 0.75, IF(AB37 = 3, 0.5, IF(AB37 = 2, 0.25, IF(AB37 = 1, 0.05, IF(AB37 = "&lt;1%", 0.01, IF(AB37 = "", "")))))))</f>
        <v>0.75</v>
      </c>
      <c r="AD37" s="31"/>
      <c r="AE37" s="31"/>
    </row>
    <row r="38" spans="1:31" x14ac:dyDescent="0.2">
      <c r="A38" s="2">
        <v>35</v>
      </c>
      <c r="B38" s="25" t="s">
        <v>91</v>
      </c>
      <c r="C38" s="25" t="s">
        <v>92</v>
      </c>
      <c r="D38" s="25" t="s">
        <v>51</v>
      </c>
      <c r="E38" s="25" t="s">
        <v>35</v>
      </c>
      <c r="F38" s="27" t="s">
        <v>32</v>
      </c>
      <c r="G38" s="31" t="s">
        <v>32</v>
      </c>
      <c r="H38" s="31"/>
      <c r="I38" s="44" t="str">
        <f>IF(H38 = 5, 1, IF(H38 = 4, 0.75, IF(H38 = 3, 0.5, IF(H38 = 2, 0.25, IF(H38 = 1, 0.05, IF(H38 = "&lt;1%", 0.01, IF(H38 = "", "")))))))</f>
        <v/>
      </c>
      <c r="J38" s="31"/>
      <c r="K38" s="31"/>
      <c r="L38" s="29" t="s">
        <v>32</v>
      </c>
      <c r="M38" s="29"/>
      <c r="N38" s="44" t="str">
        <f>IF(M38 = 5, 1, IF(M38 = 4, 0.75, IF(M38 = 3, 0.5, IF(M38 = 2, 0.25, IF(M38 = 1, 0.05, IF(M38 = "&lt;1%", 0.01, IF(M38 = "", "")))))))</f>
        <v/>
      </c>
      <c r="O38" s="29"/>
      <c r="P38" s="29"/>
      <c r="Q38" s="31" t="s">
        <v>32</v>
      </c>
      <c r="R38" s="31"/>
      <c r="S38" s="44" t="str">
        <f>IF(R38 = 5, 1, IF(R38 = 4, 0.75, IF(R38 = 3, 0.5, IF(R38 = 2, 0.25, IF(R38 = 1, 0.05, IF(R38 = "&lt;1%", 0.01, IF(R38 = "", "")))))))</f>
        <v/>
      </c>
      <c r="T38" s="31"/>
      <c r="U38" s="31"/>
      <c r="V38" s="29" t="s">
        <v>32</v>
      </c>
      <c r="W38" s="29"/>
      <c r="X38" s="44" t="str">
        <f>IF(W38 = 5, 1, IF(W38 = 4, 0.75, IF(W38 = 3, 0.5, IF(W38 = 2, 0.25, IF(W38 = 1, 0.05, IF(W38 = "&lt;1%", 0.01, IF(W38 = "", "")))))))</f>
        <v/>
      </c>
      <c r="Y38" s="29"/>
      <c r="Z38" s="29"/>
      <c r="AA38" s="31" t="s">
        <v>31</v>
      </c>
      <c r="AB38" s="31">
        <v>1</v>
      </c>
      <c r="AC38" s="44">
        <f>IF(AB38 = 5, 1, IF(AB38 = 4, 0.75, IF(AB38 = 3, 0.5, IF(AB38 = 2, 0.25, IF(AB38 = 1, 0.05, IF(AB38 = "&lt;1%", 0.01, IF(AB38 = "", "")))))))</f>
        <v>0.05</v>
      </c>
      <c r="AD38" s="31" t="s">
        <v>93</v>
      </c>
      <c r="AE38" s="31">
        <v>2</v>
      </c>
    </row>
    <row r="39" spans="1:31" x14ac:dyDescent="0.2">
      <c r="A39" s="2">
        <v>36</v>
      </c>
      <c r="B39" s="25" t="s">
        <v>74</v>
      </c>
      <c r="C39" s="25" t="s">
        <v>75</v>
      </c>
      <c r="D39" s="25" t="s">
        <v>55</v>
      </c>
      <c r="E39" s="25" t="s">
        <v>35</v>
      </c>
      <c r="F39" s="27" t="s">
        <v>32</v>
      </c>
      <c r="G39" s="31" t="s">
        <v>32</v>
      </c>
      <c r="H39" s="31"/>
      <c r="I39" s="44" t="str">
        <f>IF(H39 = 5, 1, IF(H39 = 4, 0.75, IF(H39 = 3, 0.5, IF(H39 = 2, 0.25, IF(H39 = 1, 0.05, IF(H39 = "&lt;1%", 0.01, IF(H39 = "", "")))))))</f>
        <v/>
      </c>
      <c r="J39" s="31"/>
      <c r="K39" s="31"/>
      <c r="L39" s="29" t="s">
        <v>31</v>
      </c>
      <c r="M39" s="29">
        <v>2</v>
      </c>
      <c r="N39" s="44">
        <f>IF(M39 = 5, 1, IF(M39 = 4, 0.75, IF(M39 = 3, 0.5, IF(M39 = 2, 0.25, IF(M39 = 1, 0.05, IF(M39 = "&lt;1%", 0.01, IF(M39 = "", "")))))))</f>
        <v>0.25</v>
      </c>
      <c r="O39" s="29" t="s">
        <v>76</v>
      </c>
      <c r="P39" s="29" t="s">
        <v>77</v>
      </c>
      <c r="Q39" s="31" t="s">
        <v>32</v>
      </c>
      <c r="R39" s="31"/>
      <c r="S39" s="44" t="str">
        <f>IF(R39 = 5, 1, IF(R39 = 4, 0.75, IF(R39 = 3, 0.5, IF(R39 = 2, 0.25, IF(R39 = 1, 0.05, IF(R39 = "&lt;1%", 0.01, IF(R39 = "", "")))))))</f>
        <v/>
      </c>
      <c r="T39" s="31"/>
      <c r="U39" s="31"/>
      <c r="V39" s="29" t="s">
        <v>31</v>
      </c>
      <c r="W39" s="29">
        <v>0</v>
      </c>
      <c r="X39" s="44">
        <v>0.01</v>
      </c>
      <c r="Y39" s="29"/>
      <c r="Z39" s="29"/>
      <c r="AA39" s="31" t="s">
        <v>32</v>
      </c>
      <c r="AB39" s="31"/>
      <c r="AC39" s="44" t="str">
        <f>IF(AB39 = 5, 1, IF(AB39 = 4, 0.75, IF(AB39 = 3, 0.5, IF(AB39 = 2, 0.25, IF(AB39 = 1, 0.05, IF(AB39 = "&lt;1%", 0.01, IF(AB39 = "", "")))))))</f>
        <v/>
      </c>
      <c r="AD39" s="31"/>
      <c r="AE39" s="31"/>
    </row>
    <row r="40" spans="1:31" x14ac:dyDescent="0.2">
      <c r="A40" s="2">
        <v>37</v>
      </c>
      <c r="B40" s="25" t="s">
        <v>81</v>
      </c>
      <c r="C40" s="25" t="s">
        <v>82</v>
      </c>
      <c r="D40" s="25" t="s">
        <v>83</v>
      </c>
      <c r="E40" s="25" t="s">
        <v>35</v>
      </c>
      <c r="F40" s="27" t="s">
        <v>31</v>
      </c>
      <c r="G40" s="31" t="s">
        <v>32</v>
      </c>
      <c r="H40" s="31"/>
      <c r="I40" s="44" t="str">
        <f>IF(H40 = 5, 1, IF(H40 = 4, 0.75, IF(H40 = 3, 0.5, IF(H40 = 2, 0.25, IF(H40 = 1, 0.05, IF(H40 = "&lt;1%", 0.01, IF(H40 = "", "")))))))</f>
        <v/>
      </c>
      <c r="J40" s="31"/>
      <c r="K40" s="31"/>
      <c r="L40" s="29" t="s">
        <v>32</v>
      </c>
      <c r="M40" s="29"/>
      <c r="N40" s="44" t="str">
        <f>IF(M40 = 5, 1, IF(M40 = 4, 0.75, IF(M40 = 3, 0.5, IF(M40 = 2, 0.25, IF(M40 = 1, 0.05, IF(M40 = "&lt;1%", 0.01, IF(M40 = "", "")))))))</f>
        <v/>
      </c>
      <c r="O40" s="29"/>
      <c r="P40" s="29"/>
      <c r="Q40" s="31" t="s">
        <v>31</v>
      </c>
      <c r="R40" s="31">
        <v>1</v>
      </c>
      <c r="S40" s="44">
        <f>IF(R40 = 5, 1, IF(R40 = 4, 0.75, IF(R40 = 3, 0.5, IF(R40 = 2, 0.25, IF(R40 = 1, 0.05, IF(R40 = "&lt;1%", 0.01, IF(R40 = "", "")))))))</f>
        <v>0.05</v>
      </c>
      <c r="T40" s="31"/>
      <c r="U40" s="31">
        <v>6</v>
      </c>
      <c r="V40" s="29" t="s">
        <v>32</v>
      </c>
      <c r="W40" s="29"/>
      <c r="X40" s="44" t="str">
        <f>IF(W40 = 5, 1, IF(W40 = 4, 0.75, IF(W40 = 3, 0.5, IF(W40 = 2, 0.25, IF(W40 = 1, 0.05, IF(W40 = "&lt;1%", 0.01, IF(W40 = "", "")))))))</f>
        <v/>
      </c>
      <c r="Y40" s="29"/>
      <c r="Z40" s="29"/>
      <c r="AA40" s="31" t="s">
        <v>31</v>
      </c>
      <c r="AB40" s="31">
        <v>1</v>
      </c>
      <c r="AC40" s="44">
        <f>IF(AB40 = 5, 1, IF(AB40 = 4, 0.75, IF(AB40 = 3, 0.5, IF(AB40 = 2, 0.25, IF(AB40 = 1, 0.05, IF(AB40 = "&lt;1%", 0.01, IF(AB40 = "", "")))))))</f>
        <v>0.05</v>
      </c>
      <c r="AD40" s="31"/>
      <c r="AE40" s="31"/>
    </row>
    <row r="41" spans="1:31" x14ac:dyDescent="0.2">
      <c r="A41" s="2">
        <v>38</v>
      </c>
      <c r="B41" s="25" t="s">
        <v>78</v>
      </c>
      <c r="C41" s="25" t="s">
        <v>79</v>
      </c>
      <c r="D41" s="25" t="s">
        <v>43</v>
      </c>
      <c r="E41" s="25" t="s">
        <v>35</v>
      </c>
      <c r="F41" s="27" t="s">
        <v>32</v>
      </c>
      <c r="G41" s="31" t="s">
        <v>32</v>
      </c>
      <c r="H41" s="31"/>
      <c r="I41" s="44" t="str">
        <f>IF(H41 = 5, 1, IF(H41 = 4, 0.75, IF(H41 = 3, 0.5, IF(H41 = 2, 0.25, IF(H41 = 1, 0.05, IF(H41 = "&lt;1%", 0.01, IF(H41 = "", "")))))))</f>
        <v/>
      </c>
      <c r="J41" s="31"/>
      <c r="K41" s="31"/>
      <c r="L41" s="29" t="s">
        <v>31</v>
      </c>
      <c r="M41" s="29">
        <v>3</v>
      </c>
      <c r="N41" s="44">
        <f>IF(M41 = 5, 1, IF(M41 = 4, 0.75, IF(M41 = 3, 0.5, IF(M41 = 2, 0.25, IF(M41 = 1, 0.05, IF(M41 = "&lt;1%", 0.01, IF(M41 = "", "")))))))</f>
        <v>0.5</v>
      </c>
      <c r="O41" s="29" t="s">
        <v>62</v>
      </c>
      <c r="P41" s="29" t="s">
        <v>80</v>
      </c>
      <c r="Q41" s="31" t="s">
        <v>31</v>
      </c>
      <c r="R41" s="31">
        <v>4</v>
      </c>
      <c r="S41" s="44">
        <f>IF(R41 = 5, 1, IF(R41 = 4, 0.75, IF(R41 = 3, 0.5, IF(R41 = 2, 0.25, IF(R41 = 1, 0.05, IF(R41 = "&lt;1%", 0.01, IF(R41 = "", "")))))))</f>
        <v>0.75</v>
      </c>
      <c r="T41" s="31"/>
      <c r="U41" s="31"/>
      <c r="V41" s="29" t="s">
        <v>31</v>
      </c>
      <c r="W41" s="29">
        <v>1</v>
      </c>
      <c r="X41" s="44">
        <f>IF(W41 = 5, 1, IF(W41 = 4, 0.75, IF(W41 = 3, 0.5, IF(W41 = 2, 0.25, IF(W41 = 1, 0.05, IF(W41 = "&lt;1%", 0.01, IF(W41 = "", "")))))))</f>
        <v>0.05</v>
      </c>
      <c r="Y41" s="29"/>
      <c r="Z41" s="29"/>
      <c r="AA41" s="31" t="s">
        <v>31</v>
      </c>
      <c r="AB41" s="31">
        <v>1</v>
      </c>
      <c r="AC41" s="44">
        <f>IF(AB41 = 5, 1, IF(AB41 = 4, 0.75, IF(AB41 = 3, 0.5, IF(AB41 = 2, 0.25, IF(AB41 = 1, 0.05, IF(AB41 = "&lt;1%", 0.01, IF(AB41 = "", "")))))))</f>
        <v>0.05</v>
      </c>
      <c r="AD41" s="31"/>
      <c r="AE41" s="31"/>
    </row>
    <row r="42" spans="1:31" x14ac:dyDescent="0.2">
      <c r="A42" s="2">
        <v>39</v>
      </c>
      <c r="B42" s="25" t="s">
        <v>94</v>
      </c>
      <c r="C42" s="25" t="s">
        <v>95</v>
      </c>
      <c r="D42" s="25" t="s">
        <v>43</v>
      </c>
      <c r="E42" s="25" t="s">
        <v>35</v>
      </c>
      <c r="F42" s="27" t="s">
        <v>32</v>
      </c>
      <c r="G42" s="31" t="s">
        <v>32</v>
      </c>
      <c r="H42" s="31"/>
      <c r="I42" s="44" t="str">
        <f>IF(H42 = 5, 1, IF(H42 = 4, 0.75, IF(H42 = 3, 0.5, IF(H42 = 2, 0.25, IF(H42 = 1, 0.05, IF(H42 = "&lt;1%", 0.01, IF(H42 = "", "")))))))</f>
        <v/>
      </c>
      <c r="J42" s="31"/>
      <c r="K42" s="31"/>
      <c r="L42" s="29" t="s">
        <v>32</v>
      </c>
      <c r="M42" s="29"/>
      <c r="N42" s="44" t="str">
        <f>IF(M42 = 5, 1, IF(M42 = 4, 0.75, IF(M42 = 3, 0.5, IF(M42 = 2, 0.25, IF(M42 = 1, 0.05, IF(M42 = "&lt;1%", 0.01, IF(M42 = "", "")))))))</f>
        <v/>
      </c>
      <c r="O42" s="29"/>
      <c r="P42" s="29"/>
      <c r="Q42" s="31" t="s">
        <v>32</v>
      </c>
      <c r="R42" s="31"/>
      <c r="S42" s="44" t="str">
        <f>IF(R42 = 5, 1, IF(R42 = 4, 0.75, IF(R42 = 3, 0.5, IF(R42 = 2, 0.25, IF(R42 = 1, 0.05, IF(R42 = "&lt;1%", 0.01, IF(R42 = "", "")))))))</f>
        <v/>
      </c>
      <c r="T42" s="31"/>
      <c r="U42" s="31"/>
      <c r="V42" s="29" t="s">
        <v>32</v>
      </c>
      <c r="W42" s="29"/>
      <c r="X42" s="44" t="str">
        <f>IF(W42 = 5, 1, IF(W42 = 4, 0.75, IF(W42 = 3, 0.5, IF(W42 = 2, 0.25, IF(W42 = 1, 0.05, IF(W42 = "&lt;1%", 0.01, IF(W42 = "", "")))))))</f>
        <v/>
      </c>
      <c r="Y42" s="29"/>
      <c r="Z42" s="29"/>
      <c r="AA42" s="31" t="s">
        <v>31</v>
      </c>
      <c r="AB42" s="31">
        <v>1</v>
      </c>
      <c r="AC42" s="44">
        <f>IF(AB42 = 5, 1, IF(AB42 = 4, 0.75, IF(AB42 = 3, 0.5, IF(AB42 = 2, 0.25, IF(AB42 = 1, 0.05, IF(AB42 = "&lt;1%", 0.01, IF(AB42 = "", "")))))))</f>
        <v>0.05</v>
      </c>
      <c r="AD42" s="31" t="s">
        <v>93</v>
      </c>
      <c r="AE42" s="31" t="s">
        <v>46</v>
      </c>
    </row>
    <row r="43" spans="1:31" x14ac:dyDescent="0.2">
      <c r="A43" s="2">
        <v>40</v>
      </c>
      <c r="B43" s="25" t="s">
        <v>64</v>
      </c>
      <c r="C43" s="25" t="s">
        <v>65</v>
      </c>
      <c r="D43" s="25" t="s">
        <v>55</v>
      </c>
      <c r="E43" s="25" t="s">
        <v>35</v>
      </c>
      <c r="F43" s="27" t="s">
        <v>31</v>
      </c>
      <c r="G43" s="31" t="s">
        <v>31</v>
      </c>
      <c r="H43" s="31">
        <v>3</v>
      </c>
      <c r="I43" s="44">
        <f>IF(H43 = 5, 1, IF(H43 = 4, 0.75, IF(H43 = 3, 0.5, IF(H43 = 2, 0.25, IF(H43 = 1, 0.05, IF(H43 = "&lt;1%", 0.01, IF(H43 = "", "")))))))</f>
        <v>0.5</v>
      </c>
      <c r="J43" s="31" t="s">
        <v>59</v>
      </c>
      <c r="K43" s="31" t="s">
        <v>46</v>
      </c>
      <c r="L43" s="29" t="s">
        <v>32</v>
      </c>
      <c r="M43" s="29"/>
      <c r="N43" s="44" t="str">
        <f>IF(M43 = 5, 1, IF(M43 = 4, 0.75, IF(M43 = 3, 0.5, IF(M43 = 2, 0.25, IF(M43 = 1, 0.05, IF(M43 = "&lt;1%", 0.01, IF(M43 = "", "")))))))</f>
        <v/>
      </c>
      <c r="O43" s="29"/>
      <c r="P43" s="29"/>
      <c r="Q43" s="31" t="s">
        <v>32</v>
      </c>
      <c r="R43" s="31"/>
      <c r="S43" s="44" t="str">
        <f>IF(R43 = 5, 1, IF(R43 = 4, 0.75, IF(R43 = 3, 0.5, IF(R43 = 2, 0.25, IF(R43 = 1, 0.05, IF(R43 = "&lt;1%", 0.01, IF(R43 = "", "")))))))</f>
        <v/>
      </c>
      <c r="T43" s="31"/>
      <c r="U43" s="31"/>
      <c r="V43" s="29" t="s">
        <v>32</v>
      </c>
      <c r="W43" s="29"/>
      <c r="X43" s="44" t="str">
        <f>IF(W43 = 5, 1, IF(W43 = 4, 0.75, IF(W43 = 3, 0.5, IF(W43 = 2, 0.25, IF(W43 = 1, 0.05, IF(W43 = "&lt;1%", 0.01, IF(W43 = "", "")))))))</f>
        <v/>
      </c>
      <c r="Y43" s="29"/>
      <c r="Z43" s="29"/>
      <c r="AA43" s="31" t="s">
        <v>32</v>
      </c>
      <c r="AB43" s="31"/>
      <c r="AC43" s="44" t="str">
        <f>IF(AB43 = 5, 1, IF(AB43 = 4, 0.75, IF(AB43 = 3, 0.5, IF(AB43 = 2, 0.25, IF(AB43 = 1, 0.05, IF(AB43 = "&lt;1%", 0.01, IF(AB43 = "", "")))))))</f>
        <v/>
      </c>
      <c r="AD43" s="31"/>
      <c r="AE43" s="31"/>
    </row>
    <row r="44" spans="1:31" x14ac:dyDescent="0.2">
      <c r="A44" s="2">
        <v>41</v>
      </c>
      <c r="B44" s="25" t="s">
        <v>84</v>
      </c>
      <c r="C44" s="25" t="s">
        <v>85</v>
      </c>
      <c r="D44" s="25" t="s">
        <v>55</v>
      </c>
      <c r="E44" s="25" t="s">
        <v>35</v>
      </c>
      <c r="F44" s="27" t="s">
        <v>32</v>
      </c>
      <c r="G44" s="31" t="s">
        <v>32</v>
      </c>
      <c r="H44" s="31"/>
      <c r="I44" s="44" t="str">
        <f>IF(H44 = 5, 1, IF(H44 = 4, 0.75, IF(H44 = 3, 0.5, IF(H44 = 2, 0.25, IF(H44 = 1, 0.05, IF(H44 = "&lt;1%", 0.01, IF(H44 = "", "")))))))</f>
        <v/>
      </c>
      <c r="J44" s="31"/>
      <c r="K44" s="31"/>
      <c r="L44" s="29" t="s">
        <v>32</v>
      </c>
      <c r="M44" s="29"/>
      <c r="N44" s="44" t="str">
        <f>IF(M44 = 5, 1, IF(M44 = 4, 0.75, IF(M44 = 3, 0.5, IF(M44 = 2, 0.25, IF(M44 = 1, 0.05, IF(M44 = "&lt;1%", 0.01, IF(M44 = "", "")))))))</f>
        <v/>
      </c>
      <c r="O44" s="29"/>
      <c r="P44" s="29"/>
      <c r="Q44" s="31" t="s">
        <v>31</v>
      </c>
      <c r="R44" s="31">
        <v>1</v>
      </c>
      <c r="S44" s="44">
        <f>IF(R44 = 5, 1, IF(R44 = 4, 0.75, IF(R44 = 3, 0.5, IF(R44 = 2, 0.25, IF(R44 = 1, 0.05, IF(R44 = "&lt;1%", 0.01, IF(R44 = "", "")))))))</f>
        <v>0.05</v>
      </c>
      <c r="T44" s="31" t="s">
        <v>86</v>
      </c>
      <c r="U44" s="31" t="s">
        <v>87</v>
      </c>
      <c r="V44" s="29" t="s">
        <v>31</v>
      </c>
      <c r="W44" s="29">
        <v>3</v>
      </c>
      <c r="X44" s="44">
        <f>IF(W44 = 5, 1, IF(W44 = 4, 0.75, IF(W44 = 3, 0.5, IF(W44 = 2, 0.25, IF(W44 = 1, 0.05, IF(W44 = "&lt;1%", 0.01, IF(W44 = "", "")))))))</f>
        <v>0.5</v>
      </c>
      <c r="Y44" s="29"/>
      <c r="Z44" s="29">
        <v>50</v>
      </c>
      <c r="AA44" s="31" t="s">
        <v>32</v>
      </c>
      <c r="AB44" s="31"/>
      <c r="AC44" s="44" t="str">
        <f>IF(AB44 = 5, 1, IF(AB44 = 4, 0.75, IF(AB44 = 3, 0.5, IF(AB44 = 2, 0.25, IF(AB44 = 1, 0.05, IF(AB44 = "&lt;1%", 0.01, IF(AB44 = "", "")))))))</f>
        <v/>
      </c>
      <c r="AD44" s="31"/>
      <c r="AE44" s="31"/>
    </row>
    <row r="45" spans="1:31" x14ac:dyDescent="0.2">
      <c r="A45" s="2">
        <v>42</v>
      </c>
      <c r="B45" s="25" t="s">
        <v>66</v>
      </c>
      <c r="C45" s="25" t="s">
        <v>67</v>
      </c>
      <c r="D45" s="25" t="s">
        <v>55</v>
      </c>
      <c r="E45" s="25" t="s">
        <v>35</v>
      </c>
      <c r="F45" s="27" t="s">
        <v>32</v>
      </c>
      <c r="G45" s="31" t="s">
        <v>31</v>
      </c>
      <c r="H45" s="31">
        <v>5</v>
      </c>
      <c r="I45" s="44">
        <f>IF(H45 = 5, 1, IF(H45 = 4, 0.75, IF(H45 = 3, 0.5, IF(H45 = 2, 0.25, IF(H45 = 1, 0.05, IF(H45 = "&lt;1%", 0.01, IF(H45 = "", "")))))))</f>
        <v>1</v>
      </c>
      <c r="J45" s="31" t="s">
        <v>68</v>
      </c>
      <c r="K45" s="31" t="s">
        <v>69</v>
      </c>
      <c r="L45" s="29" t="s">
        <v>32</v>
      </c>
      <c r="M45" s="29"/>
      <c r="N45" s="44" t="str">
        <f>IF(M45 = 5, 1, IF(M45 = 4, 0.75, IF(M45 = 3, 0.5, IF(M45 = 2, 0.25, IF(M45 = 1, 0.05, IF(M45 = "&lt;1%", 0.01, IF(M45 = "", "")))))))</f>
        <v/>
      </c>
      <c r="O45" s="29"/>
      <c r="P45" s="29"/>
      <c r="Q45" s="31" t="s">
        <v>32</v>
      </c>
      <c r="R45" s="31"/>
      <c r="S45" s="44" t="str">
        <f>IF(R45 = 5, 1, IF(R45 = 4, 0.75, IF(R45 = 3, 0.5, IF(R45 = 2, 0.25, IF(R45 = 1, 0.05, IF(R45 = "&lt;1%", 0.01, IF(R45 = "", "")))))))</f>
        <v/>
      </c>
      <c r="T45" s="31"/>
      <c r="U45" s="31"/>
      <c r="V45" s="29" t="s">
        <v>32</v>
      </c>
      <c r="W45" s="29"/>
      <c r="X45" s="44" t="str">
        <f>IF(W45 = 5, 1, IF(W45 = 4, 0.75, IF(W45 = 3, 0.5, IF(W45 = 2, 0.25, IF(W45 = 1, 0.05, IF(W45 = "&lt;1%", 0.01, IF(W45 = "", "")))))))</f>
        <v/>
      </c>
      <c r="Y45" s="29"/>
      <c r="Z45" s="29"/>
      <c r="AA45" s="31" t="s">
        <v>32</v>
      </c>
      <c r="AB45" s="31"/>
      <c r="AC45" s="44" t="str">
        <f>IF(AB45 = 5, 1, IF(AB45 = 4, 0.75, IF(AB45 = 3, 0.5, IF(AB45 = 2, 0.25, IF(AB45 = 1, 0.05, IF(AB45 = "&lt;1%", 0.01, IF(AB45 = "", "")))))))</f>
        <v/>
      </c>
      <c r="AD45" s="31"/>
      <c r="AE45" s="31"/>
    </row>
  </sheetData>
  <sortState xmlns:xlrd2="http://schemas.microsoft.com/office/spreadsheetml/2017/richdata2" ref="B4:AE45">
    <sortCondition ref="E4:E45"/>
  </sortState>
  <mergeCells count="6">
    <mergeCell ref="V1:Z1"/>
    <mergeCell ref="AA1:AE1"/>
    <mergeCell ref="B1:E1"/>
    <mergeCell ref="G1:K1"/>
    <mergeCell ref="L1:P1"/>
    <mergeCell ref="Q1:U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7443DC5-AD39-7443-AB5F-2D87056F5D21}">
          <x14:formula1>
            <xm:f>Taxa!$A$4:$A$18</xm:f>
          </x14:formula1>
          <xm:sqref>D4:D45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35431-5B07-5E47-9998-17F25859C7BA}">
  <sheetPr>
    <tabColor theme="3" tint="0.749992370372631"/>
  </sheetPr>
  <dimension ref="A1:AV35"/>
  <sheetViews>
    <sheetView workbookViewId="0">
      <selection activeCell="AB32" sqref="AB32:AC34"/>
    </sheetView>
  </sheetViews>
  <sheetFormatPr baseColWidth="10" defaultColWidth="10.6640625" defaultRowHeight="22" x14ac:dyDescent="0.3"/>
  <cols>
    <col min="1" max="1" width="25" style="3" customWidth="1"/>
    <col min="2" max="11" width="27.5" style="4" customWidth="1"/>
    <col min="12" max="12" width="27.6640625" style="4" customWidth="1"/>
    <col min="13" max="13" width="22" style="3" customWidth="1"/>
    <col min="14" max="25" width="10.6640625" style="3"/>
    <col min="26" max="26" width="21.5" style="3" customWidth="1"/>
    <col min="27" max="30" width="10.6640625" style="3"/>
    <col min="31" max="31" width="19.33203125" style="3" bestFit="1" customWidth="1"/>
    <col min="32" max="32" width="10.6640625" style="3"/>
    <col min="33" max="33" width="23.6640625" style="3" customWidth="1"/>
    <col min="34" max="35" width="18.5" style="3" customWidth="1"/>
    <col min="36" max="36" width="19.33203125" style="3" bestFit="1" customWidth="1"/>
    <col min="37" max="37" width="10.6640625" style="3"/>
    <col min="38" max="38" width="17.5" style="8" customWidth="1"/>
    <col min="39" max="39" width="21" style="8" customWidth="1"/>
    <col min="40" max="41" width="22.5" style="7" customWidth="1"/>
    <col min="42" max="42" width="21.5" style="8" customWidth="1"/>
    <col min="43" max="43" width="18.33203125" style="8" customWidth="1"/>
    <col min="44" max="44" width="18.33203125" style="3" customWidth="1"/>
    <col min="45" max="16384" width="10.6640625" style="3"/>
  </cols>
  <sheetData>
    <row r="1" spans="1:43" s="57" customFormat="1" ht="27" x14ac:dyDescent="0.35">
      <c r="A1" s="51" t="s">
        <v>96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2"/>
      <c r="N1" s="52"/>
      <c r="Y1" s="52"/>
      <c r="Z1" s="52"/>
      <c r="AA1" s="52"/>
      <c r="AB1" s="52"/>
      <c r="AL1" s="58"/>
      <c r="AM1" s="58"/>
      <c r="AN1" s="59"/>
      <c r="AO1" s="59"/>
      <c r="AP1" s="58"/>
      <c r="AQ1" s="58"/>
    </row>
    <row r="4" spans="1:43" x14ac:dyDescent="0.3">
      <c r="A4" s="4" t="s">
        <v>97</v>
      </c>
      <c r="B4" s="4" t="s">
        <v>35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16"/>
      <c r="AH4" s="16"/>
      <c r="AI4" s="16"/>
      <c r="AJ4" s="16"/>
      <c r="AK4" s="16"/>
      <c r="AN4" s="8"/>
      <c r="AO4" s="8"/>
    </row>
    <row r="5" spans="1:43" x14ac:dyDescent="0.3">
      <c r="A5" s="4" t="s">
        <v>98</v>
      </c>
      <c r="B5" s="4">
        <v>45.393000000000001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16"/>
      <c r="AH5" s="16"/>
      <c r="AI5" s="16"/>
      <c r="AJ5" s="16"/>
      <c r="AK5" s="16"/>
      <c r="AN5" s="8"/>
      <c r="AO5" s="8"/>
    </row>
    <row r="6" spans="1:43" x14ac:dyDescent="0.3">
      <c r="A6" s="4" t="s">
        <v>99</v>
      </c>
      <c r="B6" s="4">
        <v>-75.509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16"/>
      <c r="AH6" s="16"/>
      <c r="AI6" s="16"/>
      <c r="AJ6" s="16"/>
      <c r="AK6" s="16"/>
      <c r="AN6" s="8"/>
      <c r="AO6" s="8"/>
    </row>
    <row r="7" spans="1:43" x14ac:dyDescent="0.3">
      <c r="A7" s="4"/>
      <c r="E7" s="76" t="s">
        <v>100</v>
      </c>
      <c r="F7" s="76"/>
      <c r="G7" s="76"/>
      <c r="J7" s="76" t="s">
        <v>101</v>
      </c>
      <c r="K7" s="76"/>
      <c r="L7" s="76"/>
      <c r="M7" s="76"/>
      <c r="N7" s="76"/>
      <c r="O7" s="77" t="s">
        <v>102</v>
      </c>
      <c r="P7" s="77"/>
      <c r="Q7" s="77"/>
      <c r="R7" s="77"/>
      <c r="S7" s="77"/>
      <c r="T7" s="77" t="s">
        <v>103</v>
      </c>
      <c r="U7" s="77"/>
      <c r="V7" s="77"/>
      <c r="W7" s="77"/>
      <c r="X7" s="77"/>
      <c r="Y7" s="76" t="s">
        <v>104</v>
      </c>
      <c r="Z7" s="76"/>
      <c r="AA7" s="76"/>
      <c r="AB7" s="76"/>
      <c r="AC7" s="76"/>
      <c r="AD7" s="77" t="s">
        <v>105</v>
      </c>
      <c r="AE7" s="77"/>
      <c r="AF7" s="77"/>
      <c r="AG7" s="77"/>
      <c r="AH7" s="77"/>
      <c r="AI7" s="8" t="s">
        <v>106</v>
      </c>
      <c r="AJ7" s="8" t="s">
        <v>107</v>
      </c>
      <c r="AK7" s="8" t="s">
        <v>108</v>
      </c>
      <c r="AL7" s="8" t="s">
        <v>109</v>
      </c>
      <c r="AM7" s="8" t="s">
        <v>110</v>
      </c>
      <c r="AN7" s="8" t="s">
        <v>111</v>
      </c>
      <c r="AO7" s="8"/>
    </row>
    <row r="8" spans="1:43" s="15" customFormat="1" x14ac:dyDescent="0.3">
      <c r="A8" s="14" t="s">
        <v>112</v>
      </c>
      <c r="B8" s="14" t="s">
        <v>113</v>
      </c>
      <c r="C8" s="14" t="s">
        <v>114</v>
      </c>
      <c r="D8" s="14" t="s">
        <v>115</v>
      </c>
      <c r="E8" s="14" t="s">
        <v>116</v>
      </c>
      <c r="F8" s="14" t="s">
        <v>117</v>
      </c>
      <c r="G8" s="14" t="s">
        <v>118</v>
      </c>
      <c r="H8" s="14" t="s">
        <v>119</v>
      </c>
      <c r="I8" s="14" t="s">
        <v>120</v>
      </c>
      <c r="J8" s="33" t="s">
        <v>116</v>
      </c>
      <c r="K8" s="33" t="s">
        <v>117</v>
      </c>
      <c r="L8" s="33" t="s">
        <v>118</v>
      </c>
      <c r="M8" s="9" t="s">
        <v>121</v>
      </c>
      <c r="N8" s="9" t="s">
        <v>120</v>
      </c>
      <c r="O8" s="60" t="s">
        <v>116</v>
      </c>
      <c r="P8" s="60" t="s">
        <v>117</v>
      </c>
      <c r="Q8" s="60" t="s">
        <v>118</v>
      </c>
      <c r="R8" s="60" t="s">
        <v>121</v>
      </c>
      <c r="S8" s="60" t="s">
        <v>122</v>
      </c>
      <c r="T8" s="63" t="s">
        <v>116</v>
      </c>
      <c r="U8" s="63" t="s">
        <v>117</v>
      </c>
      <c r="V8" s="63" t="s">
        <v>118</v>
      </c>
      <c r="W8" s="63" t="s">
        <v>121</v>
      </c>
      <c r="X8" s="63" t="s">
        <v>122</v>
      </c>
      <c r="Y8" s="11" t="s">
        <v>116</v>
      </c>
      <c r="Z8" s="11" t="s">
        <v>117</v>
      </c>
      <c r="AA8" s="11" t="s">
        <v>118</v>
      </c>
      <c r="AB8" s="35" t="s">
        <v>121</v>
      </c>
      <c r="AC8" s="35" t="s">
        <v>120</v>
      </c>
      <c r="AD8" s="37" t="s">
        <v>116</v>
      </c>
      <c r="AE8" s="37" t="s">
        <v>117</v>
      </c>
      <c r="AF8" s="37" t="s">
        <v>118</v>
      </c>
      <c r="AG8" s="39" t="s">
        <v>121</v>
      </c>
      <c r="AH8" s="38" t="s">
        <v>120</v>
      </c>
      <c r="AI8" s="68" t="s">
        <v>123</v>
      </c>
      <c r="AJ8" s="16" t="s">
        <v>123</v>
      </c>
      <c r="AK8" s="16" t="s">
        <v>123</v>
      </c>
      <c r="AL8" s="16" t="s">
        <v>123</v>
      </c>
      <c r="AM8" s="16" t="s">
        <v>124</v>
      </c>
      <c r="AN8" s="16" t="s">
        <v>125</v>
      </c>
    </row>
    <row r="9" spans="1:43" x14ac:dyDescent="0.3">
      <c r="A9" s="70">
        <v>0.40833333333333333</v>
      </c>
      <c r="B9" s="4">
        <v>17</v>
      </c>
      <c r="C9" s="4" t="s">
        <v>126</v>
      </c>
      <c r="D9" s="4" t="s">
        <v>127</v>
      </c>
      <c r="E9" s="4">
        <v>15.5</v>
      </c>
      <c r="F9" s="4">
        <v>15.7</v>
      </c>
      <c r="G9" s="4">
        <v>16</v>
      </c>
      <c r="H9" s="4">
        <f>AVERAGE(E9:G9)</f>
        <v>15.733333333333334</v>
      </c>
      <c r="I9" s="4">
        <f>STDEV(E9:G9)</f>
        <v>0.25166114784235838</v>
      </c>
      <c r="J9" s="34">
        <v>6.9</v>
      </c>
      <c r="K9" s="34">
        <v>6.82</v>
      </c>
      <c r="L9" s="34">
        <v>6.67</v>
      </c>
      <c r="M9" s="13">
        <f>AVERAGE(J9:L9)</f>
        <v>6.7966666666666669</v>
      </c>
      <c r="N9" s="13">
        <f>STDEV(J9:L9)</f>
        <v>0.11676186592091352</v>
      </c>
      <c r="O9" s="61">
        <v>176</v>
      </c>
      <c r="P9" s="61">
        <v>175</v>
      </c>
      <c r="Q9" s="61">
        <v>176</v>
      </c>
      <c r="R9" s="61">
        <f>AVERAGE(O9:Q9)</f>
        <v>175.66666666666666</v>
      </c>
      <c r="S9" s="61">
        <f>STDEV(O9:Q9)</f>
        <v>0.57735026918962584</v>
      </c>
      <c r="T9" s="64">
        <v>87</v>
      </c>
      <c r="U9" s="64">
        <v>87</v>
      </c>
      <c r="V9" s="64">
        <v>87</v>
      </c>
      <c r="W9" s="64"/>
      <c r="X9" s="64"/>
      <c r="Y9" s="12">
        <v>19</v>
      </c>
      <c r="Z9" s="12">
        <v>15</v>
      </c>
      <c r="AA9" s="12">
        <v>16</v>
      </c>
      <c r="AB9" s="88">
        <f>AVERAGE(Y9:AA9)</f>
        <v>16.666666666666668</v>
      </c>
      <c r="AC9" s="88">
        <f>STDEV(Y9:AA9)</f>
        <v>2.0816659994661282</v>
      </c>
      <c r="AD9" s="41">
        <v>39.799999999999997</v>
      </c>
      <c r="AE9" s="41">
        <v>39</v>
      </c>
      <c r="AF9" s="41">
        <v>44.3</v>
      </c>
      <c r="AG9" s="42">
        <f>AVERAGE(AD9:AF9)</f>
        <v>41.033333333333331</v>
      </c>
      <c r="AH9" s="42">
        <f>STDEV(AD9:AF9)</f>
        <v>2.8571547618799591</v>
      </c>
      <c r="AI9" s="67">
        <v>0</v>
      </c>
      <c r="AJ9" s="8">
        <v>0</v>
      </c>
      <c r="AK9" s="7">
        <v>0.39</v>
      </c>
      <c r="AL9" s="7">
        <v>3.78</v>
      </c>
      <c r="AM9" s="8">
        <v>1.2869999999999999</v>
      </c>
      <c r="AN9" s="8">
        <v>6435.61</v>
      </c>
      <c r="AO9" s="3"/>
      <c r="AP9" s="3"/>
      <c r="AQ9" s="3"/>
    </row>
    <row r="10" spans="1:43" x14ac:dyDescent="0.3">
      <c r="A10" s="70">
        <v>0.45555555555555555</v>
      </c>
      <c r="B10" s="4">
        <v>15</v>
      </c>
      <c r="E10" s="4">
        <v>18.600000000000001</v>
      </c>
      <c r="F10" s="4">
        <v>19.7</v>
      </c>
      <c r="G10" s="4">
        <v>19.8</v>
      </c>
      <c r="H10" s="4">
        <v>19.366666666666664</v>
      </c>
      <c r="I10" s="4">
        <v>0.66583281184793852</v>
      </c>
      <c r="J10" s="34">
        <v>6.8</v>
      </c>
      <c r="K10" s="34">
        <v>6.88</v>
      </c>
      <c r="L10" s="34">
        <v>6.86</v>
      </c>
      <c r="M10" s="10">
        <v>6.8466666666666667</v>
      </c>
      <c r="N10" s="10">
        <v>4.1633319989322758E-2</v>
      </c>
      <c r="O10" s="62">
        <v>170</v>
      </c>
      <c r="P10" s="62">
        <v>167</v>
      </c>
      <c r="Q10" s="62">
        <v>165</v>
      </c>
      <c r="R10" s="62">
        <v>167.33333333333334</v>
      </c>
      <c r="S10" s="62">
        <v>2.5166114784235836</v>
      </c>
      <c r="T10" s="65">
        <v>85</v>
      </c>
      <c r="U10" s="65">
        <v>83</v>
      </c>
      <c r="V10" s="65">
        <v>83</v>
      </c>
      <c r="W10" s="65">
        <v>83.666666666666671</v>
      </c>
      <c r="X10" s="65">
        <v>1.1547005383792517</v>
      </c>
      <c r="Y10" s="12">
        <v>22.7</v>
      </c>
      <c r="Z10" s="12">
        <v>32.299999999999997</v>
      </c>
      <c r="AA10" s="12">
        <v>52.4</v>
      </c>
      <c r="AB10" s="86">
        <v>35.800000000000004</v>
      </c>
      <c r="AC10" s="87">
        <v>15.156186855538545</v>
      </c>
      <c r="AG10" s="3" t="e">
        <v>#DIV/0!</v>
      </c>
      <c r="AH10" s="3" t="e">
        <v>#DIV/0!</v>
      </c>
      <c r="AJ10" s="8"/>
      <c r="AK10" s="7"/>
      <c r="AL10" s="7"/>
      <c r="AN10" s="8"/>
      <c r="AO10" s="3"/>
      <c r="AP10" s="3"/>
      <c r="AQ10" s="3"/>
    </row>
    <row r="11" spans="1:43" x14ac:dyDescent="0.3">
      <c r="A11" s="70">
        <v>0.46875</v>
      </c>
      <c r="B11" s="4">
        <v>16</v>
      </c>
      <c r="C11" s="4" t="s">
        <v>179</v>
      </c>
      <c r="D11" s="4" t="s">
        <v>180</v>
      </c>
      <c r="E11" s="4">
        <v>19.399999999999999</v>
      </c>
      <c r="F11" s="4">
        <v>20</v>
      </c>
      <c r="G11" s="4">
        <v>19.600000000000001</v>
      </c>
      <c r="H11" s="4">
        <v>19.666666666666668</v>
      </c>
      <c r="I11" s="4">
        <v>0.30550504633038983</v>
      </c>
      <c r="J11" s="34">
        <v>5.6</v>
      </c>
      <c r="K11" s="34">
        <v>5.75</v>
      </c>
      <c r="L11" s="34">
        <v>5.78</v>
      </c>
      <c r="M11" s="10">
        <v>5.71</v>
      </c>
      <c r="N11" s="10">
        <v>9.6436507609929847E-2</v>
      </c>
      <c r="O11" s="62">
        <v>160</v>
      </c>
      <c r="P11" s="62">
        <v>155</v>
      </c>
      <c r="Q11" s="62">
        <v>157</v>
      </c>
      <c r="R11" s="62">
        <v>157.33333333333334</v>
      </c>
      <c r="S11" s="62">
        <v>2.5166114784235836</v>
      </c>
      <c r="T11" s="65">
        <v>79</v>
      </c>
      <c r="U11" s="65">
        <v>78</v>
      </c>
      <c r="V11" s="65">
        <v>78</v>
      </c>
      <c r="W11" s="65">
        <v>78.333333333333329</v>
      </c>
      <c r="X11" s="65">
        <v>0.47140452079103168</v>
      </c>
      <c r="Y11" s="12">
        <v>0.69</v>
      </c>
      <c r="Z11" s="12">
        <v>0.67</v>
      </c>
      <c r="AA11" s="12">
        <v>0.65</v>
      </c>
      <c r="AB11" s="86">
        <v>0.66999999999999993</v>
      </c>
      <c r="AC11" s="87">
        <v>1.9999999999999962E-2</v>
      </c>
      <c r="AG11" s="3" t="e">
        <v>#DIV/0!</v>
      </c>
      <c r="AH11" s="3" t="e">
        <v>#DIV/0!</v>
      </c>
      <c r="AJ11" s="8"/>
      <c r="AK11" s="7"/>
      <c r="AL11" s="7"/>
      <c r="AN11" s="8"/>
      <c r="AO11" s="3"/>
      <c r="AP11" s="3"/>
      <c r="AQ11" s="3"/>
    </row>
    <row r="12" spans="1:43" x14ac:dyDescent="0.3">
      <c r="A12" s="70"/>
      <c r="J12" s="34"/>
      <c r="K12" s="34"/>
      <c r="L12" s="34"/>
      <c r="M12" s="10"/>
      <c r="N12" s="10"/>
      <c r="O12" s="62"/>
      <c r="P12" s="62"/>
      <c r="Q12" s="62"/>
      <c r="R12" s="62"/>
      <c r="S12" s="62"/>
      <c r="T12" s="65"/>
      <c r="U12" s="65"/>
      <c r="V12" s="65"/>
      <c r="W12" s="65"/>
      <c r="X12" s="65"/>
      <c r="Y12" s="12"/>
      <c r="Z12" s="12"/>
      <c r="AA12" s="12"/>
      <c r="AB12" s="36"/>
      <c r="AC12" s="40"/>
      <c r="AJ12" s="8"/>
      <c r="AK12" s="7"/>
      <c r="AL12" s="7"/>
      <c r="AN12" s="8"/>
      <c r="AO12" s="3"/>
      <c r="AP12" s="3"/>
      <c r="AQ12" s="3"/>
    </row>
    <row r="15" spans="1:43" x14ac:dyDescent="0.3">
      <c r="A15" s="4" t="s">
        <v>128</v>
      </c>
      <c r="B15" s="4" t="s">
        <v>129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16"/>
      <c r="AH15" s="16"/>
      <c r="AI15" s="16"/>
      <c r="AJ15" s="16"/>
      <c r="AK15" s="16"/>
      <c r="AN15" s="8"/>
      <c r="AO15" s="8"/>
    </row>
    <row r="16" spans="1:43" x14ac:dyDescent="0.3">
      <c r="A16" s="4" t="s">
        <v>98</v>
      </c>
      <c r="B16" s="4">
        <v>45.392000000000003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16"/>
      <c r="AH16" s="16"/>
      <c r="AI16" s="16"/>
      <c r="AJ16" s="16"/>
      <c r="AK16" s="16"/>
      <c r="AN16" s="8"/>
      <c r="AO16" s="8"/>
    </row>
    <row r="17" spans="1:48" x14ac:dyDescent="0.3">
      <c r="A17" s="4" t="s">
        <v>99</v>
      </c>
      <c r="B17" s="4">
        <v>-75.510000000000005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16"/>
      <c r="AH17" s="16"/>
      <c r="AI17" s="16"/>
      <c r="AJ17" s="16"/>
      <c r="AK17" s="16"/>
      <c r="AN17" s="8"/>
      <c r="AO17" s="8"/>
    </row>
    <row r="18" spans="1:48" x14ac:dyDescent="0.3">
      <c r="A18" s="4"/>
      <c r="E18" s="8" t="s">
        <v>100</v>
      </c>
      <c r="F18" s="8"/>
      <c r="G18" s="8"/>
      <c r="J18" s="76" t="s">
        <v>101</v>
      </c>
      <c r="K18" s="76"/>
      <c r="L18" s="76"/>
      <c r="M18" s="76"/>
      <c r="N18" s="76"/>
      <c r="O18" s="77" t="s">
        <v>102</v>
      </c>
      <c r="P18" s="77"/>
      <c r="Q18" s="77"/>
      <c r="R18" s="77"/>
      <c r="S18" s="77"/>
      <c r="T18" s="77" t="s">
        <v>103</v>
      </c>
      <c r="U18" s="77"/>
      <c r="V18" s="77"/>
      <c r="W18" s="77"/>
      <c r="X18" s="77"/>
      <c r="Y18" s="76" t="s">
        <v>130</v>
      </c>
      <c r="Z18" s="76"/>
      <c r="AA18" s="76"/>
      <c r="AB18" s="76"/>
      <c r="AC18" s="76"/>
      <c r="AD18" s="77" t="s">
        <v>105</v>
      </c>
      <c r="AE18" s="77"/>
      <c r="AF18" s="77"/>
      <c r="AG18" s="77"/>
      <c r="AH18" s="77"/>
      <c r="AI18" s="8" t="s">
        <v>106</v>
      </c>
      <c r="AJ18" s="8" t="s">
        <v>107</v>
      </c>
      <c r="AK18" s="8" t="s">
        <v>108</v>
      </c>
      <c r="AL18" s="8" t="s">
        <v>109</v>
      </c>
      <c r="AM18" s="8" t="s">
        <v>110</v>
      </c>
      <c r="AN18" s="8" t="s">
        <v>111</v>
      </c>
      <c r="AO18" s="8"/>
    </row>
    <row r="19" spans="1:48" s="15" customFormat="1" x14ac:dyDescent="0.3">
      <c r="A19" s="14" t="s">
        <v>112</v>
      </c>
      <c r="B19" s="14" t="s">
        <v>113</v>
      </c>
      <c r="C19" s="14" t="s">
        <v>114</v>
      </c>
      <c r="D19" s="14" t="s">
        <v>115</v>
      </c>
      <c r="E19" s="14" t="s">
        <v>116</v>
      </c>
      <c r="F19" s="14" t="s">
        <v>117</v>
      </c>
      <c r="G19" s="14" t="s">
        <v>118</v>
      </c>
      <c r="H19" s="14" t="s">
        <v>119</v>
      </c>
      <c r="I19" s="14" t="s">
        <v>120</v>
      </c>
      <c r="J19" s="33" t="s">
        <v>116</v>
      </c>
      <c r="K19" s="33" t="s">
        <v>117</v>
      </c>
      <c r="L19" s="33" t="s">
        <v>118</v>
      </c>
      <c r="M19" s="9" t="s">
        <v>121</v>
      </c>
      <c r="N19" s="9" t="s">
        <v>120</v>
      </c>
      <c r="O19" s="60" t="s">
        <v>116</v>
      </c>
      <c r="P19" s="60" t="s">
        <v>117</v>
      </c>
      <c r="Q19" s="60" t="s">
        <v>118</v>
      </c>
      <c r="R19" s="60" t="s">
        <v>121</v>
      </c>
      <c r="S19" s="60" t="s">
        <v>122</v>
      </c>
      <c r="T19" s="63" t="s">
        <v>116</v>
      </c>
      <c r="U19" s="63" t="s">
        <v>117</v>
      </c>
      <c r="V19" s="63" t="s">
        <v>118</v>
      </c>
      <c r="W19" s="63" t="s">
        <v>121</v>
      </c>
      <c r="X19" s="63" t="s">
        <v>122</v>
      </c>
      <c r="Y19" s="11" t="s">
        <v>116</v>
      </c>
      <c r="Z19" s="11" t="s">
        <v>117</v>
      </c>
      <c r="AA19" s="11" t="s">
        <v>118</v>
      </c>
      <c r="AB19" s="35" t="s">
        <v>121</v>
      </c>
      <c r="AC19" s="35" t="s">
        <v>120</v>
      </c>
      <c r="AD19" s="37" t="s">
        <v>116</v>
      </c>
      <c r="AE19" s="37" t="s">
        <v>117</v>
      </c>
      <c r="AF19" s="37" t="s">
        <v>118</v>
      </c>
      <c r="AG19" s="39" t="s">
        <v>121</v>
      </c>
      <c r="AH19" s="38" t="s">
        <v>120</v>
      </c>
      <c r="AI19" s="68" t="s">
        <v>123</v>
      </c>
      <c r="AJ19" s="16" t="s">
        <v>123</v>
      </c>
      <c r="AK19" s="16" t="s">
        <v>123</v>
      </c>
      <c r="AL19" s="16" t="s">
        <v>123</v>
      </c>
      <c r="AM19" s="16" t="s">
        <v>124</v>
      </c>
      <c r="AN19" s="16" t="s">
        <v>125</v>
      </c>
    </row>
    <row r="20" spans="1:48" x14ac:dyDescent="0.3">
      <c r="A20" s="70">
        <v>0.40625</v>
      </c>
      <c r="B20" s="4">
        <v>65</v>
      </c>
      <c r="C20" s="4" t="s">
        <v>173</v>
      </c>
      <c r="D20" s="4" t="s">
        <v>174</v>
      </c>
      <c r="E20" s="4">
        <v>21.6</v>
      </c>
      <c r="F20" s="4">
        <v>22.4</v>
      </c>
      <c r="G20" s="4">
        <v>22.2</v>
      </c>
      <c r="H20" s="4">
        <v>22.066666666666666</v>
      </c>
      <c r="I20" s="4">
        <v>0.41633319989322509</v>
      </c>
      <c r="J20" s="34">
        <v>6.13</v>
      </c>
      <c r="K20" s="34">
        <v>6.12</v>
      </c>
      <c r="L20" s="34">
        <v>6.13</v>
      </c>
      <c r="M20" s="10">
        <v>6.126666666666666</v>
      </c>
      <c r="N20" s="10">
        <v>5.7735026918961348E-3</v>
      </c>
      <c r="O20" s="62">
        <v>103</v>
      </c>
      <c r="P20" s="62">
        <v>97</v>
      </c>
      <c r="Q20" s="62">
        <v>96</v>
      </c>
      <c r="R20" s="62">
        <v>98.666666666666671</v>
      </c>
      <c r="S20" s="62">
        <v>3.7859388972001824</v>
      </c>
      <c r="T20" s="65">
        <v>50</v>
      </c>
      <c r="U20" s="65">
        <v>49</v>
      </c>
      <c r="V20" s="65">
        <v>49</v>
      </c>
      <c r="W20" s="65">
        <v>49.333333333333336</v>
      </c>
      <c r="X20" s="65">
        <v>0.57735026918962584</v>
      </c>
      <c r="Y20" s="12">
        <v>16.399999999999999</v>
      </c>
      <c r="Z20" s="12">
        <v>28.7</v>
      </c>
      <c r="AA20" s="12">
        <v>33.4</v>
      </c>
      <c r="AB20" s="86">
        <v>26.166666666666668</v>
      </c>
      <c r="AC20" s="87">
        <v>8.7785723972257177</v>
      </c>
      <c r="AD20" s="3">
        <v>1.85</v>
      </c>
      <c r="AE20" s="3">
        <v>1.8750000000000002</v>
      </c>
      <c r="AF20" s="3">
        <v>1.825</v>
      </c>
      <c r="AG20" s="3">
        <v>1.8500000000000003</v>
      </c>
      <c r="AH20" s="3">
        <v>2.5000000000000133E-2</v>
      </c>
      <c r="AI20" s="3">
        <v>0</v>
      </c>
      <c r="AJ20" s="8">
        <v>0</v>
      </c>
      <c r="AK20" s="7">
        <v>0.08</v>
      </c>
      <c r="AL20" s="7">
        <v>1.42</v>
      </c>
      <c r="AM20" s="82">
        <v>0.41455555555555557</v>
      </c>
      <c r="AN20" s="8">
        <v>3171.362222222222</v>
      </c>
      <c r="AO20" s="3"/>
      <c r="AP20" s="3">
        <v>0.40200000000000002</v>
      </c>
      <c r="AQ20" s="3">
        <v>0.42099999999999999</v>
      </c>
      <c r="AR20" s="3">
        <v>0.42</v>
      </c>
      <c r="AT20" s="3">
        <v>2574.0100000000002</v>
      </c>
      <c r="AU20" s="3">
        <v>3195.47</v>
      </c>
      <c r="AV20" s="3">
        <v>3550.91</v>
      </c>
    </row>
    <row r="21" spans="1:48" x14ac:dyDescent="0.3">
      <c r="A21" s="70">
        <v>0.44791666666666669</v>
      </c>
      <c r="B21" s="4">
        <v>72</v>
      </c>
      <c r="C21" s="4" t="s">
        <v>126</v>
      </c>
      <c r="E21" s="4">
        <v>22.9</v>
      </c>
      <c r="F21" s="4">
        <v>22.7</v>
      </c>
      <c r="G21" s="4">
        <v>22.8</v>
      </c>
      <c r="H21" s="4">
        <f>AVERAGE(E21:G21)</f>
        <v>22.799999999999997</v>
      </c>
      <c r="I21" s="4">
        <f>STDEV(E21:G21)</f>
        <v>9.9999999999999645E-2</v>
      </c>
      <c r="J21" s="34">
        <v>5.52</v>
      </c>
      <c r="K21" s="34">
        <v>5.51</v>
      </c>
      <c r="L21" s="34">
        <v>5.51</v>
      </c>
      <c r="M21" s="13">
        <f>AVERAGE(J21:L21)</f>
        <v>5.5133333333333328</v>
      </c>
      <c r="N21" s="13">
        <f>STDEV(J21:L21)</f>
        <v>5.7735026918961348E-3</v>
      </c>
      <c r="O21" s="61">
        <v>98</v>
      </c>
      <c r="P21" s="61">
        <v>100</v>
      </c>
      <c r="Q21" s="61">
        <v>99</v>
      </c>
      <c r="R21" s="61"/>
      <c r="S21" s="61"/>
      <c r="T21" s="64">
        <v>49</v>
      </c>
      <c r="U21" s="64">
        <v>50</v>
      </c>
      <c r="V21" s="64">
        <v>49</v>
      </c>
      <c r="W21" s="64"/>
      <c r="X21" s="64"/>
      <c r="Y21" s="12">
        <v>38</v>
      </c>
      <c r="Z21" s="12">
        <v>32</v>
      </c>
      <c r="AA21" s="12">
        <v>34</v>
      </c>
      <c r="AB21" s="88">
        <f>AVERAGE(Y21:AA21)</f>
        <v>34.666666666666664</v>
      </c>
      <c r="AC21" s="88">
        <f>STDEV(Y21:AA21)</f>
        <v>3.0550504633038935</v>
      </c>
      <c r="AD21" s="41"/>
      <c r="AE21" s="41"/>
      <c r="AF21" s="41"/>
      <c r="AG21" s="42"/>
      <c r="AH21" s="42"/>
      <c r="AI21" s="67"/>
      <c r="AJ21" s="8"/>
      <c r="AK21" s="7"/>
      <c r="AL21" s="7"/>
      <c r="AN21" s="8"/>
      <c r="AO21" s="3"/>
      <c r="AP21" s="3"/>
      <c r="AQ21" s="3"/>
    </row>
    <row r="22" spans="1:48" x14ac:dyDescent="0.3">
      <c r="A22" s="72">
        <v>0.48958333333333331</v>
      </c>
      <c r="B22" s="4">
        <v>72</v>
      </c>
      <c r="C22" s="4" t="s">
        <v>181</v>
      </c>
      <c r="E22" s="4">
        <v>25.8</v>
      </c>
      <c r="F22" s="4">
        <v>25.9</v>
      </c>
      <c r="G22" s="4">
        <v>26</v>
      </c>
      <c r="H22" s="4">
        <v>25.900000000000002</v>
      </c>
      <c r="I22" s="4">
        <v>9.9999999999999645E-2</v>
      </c>
      <c r="J22" s="34">
        <v>5.52</v>
      </c>
      <c r="K22" s="34">
        <v>5.49</v>
      </c>
      <c r="L22" s="34">
        <v>5.46</v>
      </c>
      <c r="M22" s="10">
        <v>5.4899999999999993</v>
      </c>
      <c r="N22" s="10">
        <v>2.9999999999999805E-2</v>
      </c>
      <c r="O22" s="62">
        <v>91</v>
      </c>
      <c r="P22" s="62">
        <v>90</v>
      </c>
      <c r="Q22" s="62">
        <v>90</v>
      </c>
      <c r="R22" s="62">
        <v>90.333333333333329</v>
      </c>
      <c r="S22" s="62">
        <v>0.57735026918962573</v>
      </c>
      <c r="T22" s="65">
        <v>45</v>
      </c>
      <c r="U22" s="65">
        <v>45</v>
      </c>
      <c r="V22" s="65">
        <v>46</v>
      </c>
      <c r="W22" s="65">
        <v>45.333333333333336</v>
      </c>
      <c r="X22" s="65">
        <v>0.57735026918962584</v>
      </c>
      <c r="Y22" s="12">
        <v>3.76</v>
      </c>
      <c r="Z22" s="12">
        <v>3.77</v>
      </c>
      <c r="AA22" s="12">
        <v>3.79</v>
      </c>
      <c r="AB22" s="86">
        <v>3.7733333333333334</v>
      </c>
      <c r="AC22" s="87">
        <v>1.5275252316519577E-2</v>
      </c>
      <c r="AJ22" s="8"/>
      <c r="AK22" s="7"/>
      <c r="AL22" s="7"/>
      <c r="AN22" s="8"/>
      <c r="AO22" s="3"/>
      <c r="AP22" s="3"/>
      <c r="AQ22" s="3"/>
    </row>
    <row r="23" spans="1:48" x14ac:dyDescent="0.3">
      <c r="A23" s="4"/>
      <c r="J23" s="34"/>
      <c r="K23" s="34"/>
      <c r="L23" s="34"/>
      <c r="M23" s="10"/>
      <c r="N23" s="10"/>
      <c r="O23" s="62"/>
      <c r="P23" s="62"/>
      <c r="Q23" s="62"/>
      <c r="R23" s="62"/>
      <c r="S23" s="62"/>
      <c r="T23" s="65"/>
      <c r="U23" s="65"/>
      <c r="V23" s="65"/>
      <c r="W23" s="65"/>
      <c r="X23" s="65"/>
      <c r="Y23" s="12"/>
      <c r="Z23" s="12"/>
      <c r="AA23" s="12"/>
      <c r="AB23" s="36"/>
      <c r="AC23" s="40"/>
      <c r="AJ23" s="8"/>
      <c r="AK23" s="7"/>
      <c r="AL23" s="7"/>
      <c r="AN23" s="8"/>
      <c r="AO23" s="3"/>
      <c r="AP23" s="3"/>
      <c r="AQ23" s="3"/>
    </row>
    <row r="27" spans="1:48" x14ac:dyDescent="0.3">
      <c r="A27" s="4" t="s">
        <v>131</v>
      </c>
      <c r="B27" s="4" t="s">
        <v>30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16"/>
      <c r="AH27" s="16"/>
      <c r="AI27" s="16"/>
      <c r="AJ27" s="16"/>
      <c r="AK27" s="16"/>
      <c r="AN27" s="8"/>
      <c r="AO27" s="8"/>
    </row>
    <row r="28" spans="1:48" x14ac:dyDescent="0.3">
      <c r="A28" s="4" t="s">
        <v>98</v>
      </c>
      <c r="B28" s="4">
        <v>45.392000000000003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16"/>
      <c r="AH28" s="16"/>
      <c r="AI28" s="16"/>
      <c r="AJ28" s="16"/>
      <c r="AK28" s="16"/>
      <c r="AN28" s="8"/>
      <c r="AO28" s="8"/>
    </row>
    <row r="29" spans="1:48" x14ac:dyDescent="0.3">
      <c r="A29" s="4" t="s">
        <v>99</v>
      </c>
      <c r="B29" s="4">
        <v>-75.509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16"/>
      <c r="AH29" s="16"/>
      <c r="AI29" s="16"/>
      <c r="AJ29" s="16"/>
      <c r="AK29" s="16"/>
      <c r="AN29" s="8"/>
      <c r="AO29" s="8"/>
    </row>
    <row r="30" spans="1:48" x14ac:dyDescent="0.3">
      <c r="A30" s="4"/>
      <c r="E30" s="76" t="s">
        <v>100</v>
      </c>
      <c r="F30" s="76"/>
      <c r="G30" s="76"/>
      <c r="J30" s="76" t="s">
        <v>101</v>
      </c>
      <c r="K30" s="76"/>
      <c r="L30" s="76"/>
      <c r="M30" s="76"/>
      <c r="N30" s="76"/>
      <c r="O30" s="77" t="s">
        <v>102</v>
      </c>
      <c r="P30" s="77"/>
      <c r="Q30" s="77"/>
      <c r="R30" s="77"/>
      <c r="S30" s="77"/>
      <c r="T30" s="77" t="s">
        <v>103</v>
      </c>
      <c r="U30" s="77"/>
      <c r="V30" s="77"/>
      <c r="W30" s="77"/>
      <c r="X30" s="77"/>
      <c r="Y30" s="76" t="s">
        <v>130</v>
      </c>
      <c r="Z30" s="76"/>
      <c r="AA30" s="76"/>
      <c r="AB30" s="76"/>
      <c r="AC30" s="76"/>
      <c r="AD30" s="77" t="s">
        <v>105</v>
      </c>
      <c r="AE30" s="77"/>
      <c r="AF30" s="77"/>
      <c r="AG30" s="77"/>
      <c r="AH30" s="77"/>
      <c r="AI30" s="8" t="s">
        <v>106</v>
      </c>
      <c r="AJ30" s="8" t="s">
        <v>107</v>
      </c>
      <c r="AK30" s="8" t="s">
        <v>108</v>
      </c>
      <c r="AL30" s="8" t="s">
        <v>109</v>
      </c>
      <c r="AM30" s="8" t="s">
        <v>110</v>
      </c>
      <c r="AN30" s="8" t="s">
        <v>111</v>
      </c>
      <c r="AO30" s="8"/>
    </row>
    <row r="31" spans="1:48" s="15" customFormat="1" x14ac:dyDescent="0.3">
      <c r="A31" s="14" t="s">
        <v>112</v>
      </c>
      <c r="B31" s="14" t="s">
        <v>113</v>
      </c>
      <c r="C31" s="14" t="s">
        <v>114</v>
      </c>
      <c r="D31" s="14" t="s">
        <v>115</v>
      </c>
      <c r="E31" s="14" t="s">
        <v>116</v>
      </c>
      <c r="F31" s="14" t="s">
        <v>117</v>
      </c>
      <c r="G31" s="14" t="s">
        <v>118</v>
      </c>
      <c r="H31" s="14" t="s">
        <v>119</v>
      </c>
      <c r="I31" s="14" t="s">
        <v>120</v>
      </c>
      <c r="J31" s="33" t="s">
        <v>116</v>
      </c>
      <c r="K31" s="33" t="s">
        <v>117</v>
      </c>
      <c r="L31" s="33" t="s">
        <v>118</v>
      </c>
      <c r="M31" s="9" t="s">
        <v>121</v>
      </c>
      <c r="N31" s="9" t="s">
        <v>120</v>
      </c>
      <c r="O31" s="60" t="s">
        <v>116</v>
      </c>
      <c r="P31" s="60" t="s">
        <v>117</v>
      </c>
      <c r="Q31" s="60" t="s">
        <v>118</v>
      </c>
      <c r="R31" s="60" t="s">
        <v>121</v>
      </c>
      <c r="S31" s="60" t="s">
        <v>122</v>
      </c>
      <c r="T31" s="63" t="s">
        <v>116</v>
      </c>
      <c r="U31" s="63" t="s">
        <v>117</v>
      </c>
      <c r="V31" s="63" t="s">
        <v>118</v>
      </c>
      <c r="W31" s="63" t="s">
        <v>121</v>
      </c>
      <c r="X31" s="63" t="s">
        <v>122</v>
      </c>
      <c r="Y31" s="11" t="s">
        <v>116</v>
      </c>
      <c r="Z31" s="11" t="s">
        <v>117</v>
      </c>
      <c r="AA31" s="11" t="s">
        <v>118</v>
      </c>
      <c r="AB31" s="35" t="s">
        <v>121</v>
      </c>
      <c r="AC31" s="35" t="s">
        <v>120</v>
      </c>
      <c r="AD31" s="37" t="s">
        <v>116</v>
      </c>
      <c r="AE31" s="37" t="s">
        <v>117</v>
      </c>
      <c r="AF31" s="37" t="s">
        <v>118</v>
      </c>
      <c r="AG31" s="39" t="s">
        <v>121</v>
      </c>
      <c r="AH31" s="38" t="s">
        <v>120</v>
      </c>
      <c r="AI31" s="68" t="s">
        <v>123</v>
      </c>
      <c r="AJ31" s="16" t="s">
        <v>123</v>
      </c>
      <c r="AK31" s="16" t="s">
        <v>123</v>
      </c>
      <c r="AL31" s="16" t="s">
        <v>123</v>
      </c>
      <c r="AM31" s="16" t="s">
        <v>124</v>
      </c>
      <c r="AN31" s="16" t="s">
        <v>125</v>
      </c>
    </row>
    <row r="32" spans="1:48" x14ac:dyDescent="0.3">
      <c r="A32" s="72">
        <v>0.44722222222222224</v>
      </c>
      <c r="B32" s="4">
        <v>36</v>
      </c>
      <c r="C32" s="4" t="s">
        <v>173</v>
      </c>
      <c r="D32" s="4" t="s">
        <v>178</v>
      </c>
      <c r="E32" s="4">
        <v>17.2</v>
      </c>
      <c r="F32" s="4">
        <v>16.7</v>
      </c>
      <c r="G32" s="4">
        <v>16.2</v>
      </c>
      <c r="H32" s="4">
        <v>16.7</v>
      </c>
      <c r="I32" s="4">
        <v>0.5</v>
      </c>
      <c r="J32" s="34">
        <v>4.45</v>
      </c>
      <c r="K32" s="34">
        <v>4.42</v>
      </c>
      <c r="L32" s="34">
        <v>4.37</v>
      </c>
      <c r="M32" s="10">
        <v>4.413333333333334</v>
      </c>
      <c r="N32" s="10">
        <v>4.0414518843273822E-2</v>
      </c>
      <c r="O32" s="62">
        <v>110</v>
      </c>
      <c r="P32" s="62">
        <v>106</v>
      </c>
      <c r="Q32" s="62">
        <v>104</v>
      </c>
      <c r="R32" s="62">
        <v>106.66666666666667</v>
      </c>
      <c r="S32" s="62">
        <v>3.0550504633038931</v>
      </c>
      <c r="T32" s="65">
        <v>54</v>
      </c>
      <c r="U32" s="65">
        <v>52</v>
      </c>
      <c r="V32" s="65">
        <v>52</v>
      </c>
      <c r="W32" s="65">
        <v>52.666666666666664</v>
      </c>
      <c r="X32" s="65">
        <v>1.1547005383792517</v>
      </c>
      <c r="Y32" s="12">
        <v>0.83</v>
      </c>
      <c r="Z32" s="12">
        <v>0.9</v>
      </c>
      <c r="AA32" s="12">
        <v>0.73</v>
      </c>
      <c r="AB32" s="83">
        <v>0.82</v>
      </c>
      <c r="AC32" s="84">
        <v>8.5440037453175327E-2</v>
      </c>
      <c r="AD32" s="3">
        <v>2.5000000000000004</v>
      </c>
      <c r="AE32" s="3">
        <v>28.499999999999996</v>
      </c>
      <c r="AF32" s="3">
        <v>5.7500000000000009</v>
      </c>
      <c r="AG32" s="3">
        <v>12.25</v>
      </c>
      <c r="AH32" s="3">
        <v>14.166421566507186</v>
      </c>
      <c r="AI32" s="3">
        <v>0</v>
      </c>
      <c r="AJ32" s="8">
        <v>0</v>
      </c>
      <c r="AK32" s="7">
        <v>0.88</v>
      </c>
      <c r="AL32" s="7">
        <v>2.8</v>
      </c>
      <c r="AM32" s="8">
        <v>0.84599999999999997</v>
      </c>
      <c r="AN32" s="8">
        <v>32775.449999999997</v>
      </c>
      <c r="AO32" s="3"/>
      <c r="AP32" s="3"/>
      <c r="AQ32" s="3"/>
    </row>
    <row r="33" spans="1:43" x14ac:dyDescent="0.3">
      <c r="A33" s="70">
        <v>0.46875</v>
      </c>
      <c r="B33" s="4" t="s">
        <v>175</v>
      </c>
      <c r="E33" s="4">
        <v>22.6</v>
      </c>
      <c r="F33" s="4">
        <v>22.8</v>
      </c>
      <c r="G33" s="4">
        <v>22.9</v>
      </c>
      <c r="H33" s="4">
        <v>22.766666666666669</v>
      </c>
      <c r="I33" s="4">
        <v>0.15275252316519336</v>
      </c>
      <c r="J33" s="34">
        <v>4.5599999999999996</v>
      </c>
      <c r="K33" s="34">
        <v>4.5</v>
      </c>
      <c r="L33" s="34">
        <v>4.4400000000000004</v>
      </c>
      <c r="M33" s="10">
        <v>4.5</v>
      </c>
      <c r="N33" s="10">
        <v>5.9999999999999609E-2</v>
      </c>
      <c r="O33" s="62">
        <v>132</v>
      </c>
      <c r="P33" s="62">
        <v>136</v>
      </c>
      <c r="Q33" s="62">
        <v>136</v>
      </c>
      <c r="R33" s="62">
        <v>134.66666666666666</v>
      </c>
      <c r="S33" s="62">
        <v>2.3094010767585034</v>
      </c>
      <c r="T33" s="65">
        <v>66</v>
      </c>
      <c r="U33" s="65">
        <v>68</v>
      </c>
      <c r="V33" s="65">
        <v>68</v>
      </c>
      <c r="W33" s="65">
        <v>67.333333333333329</v>
      </c>
      <c r="X33" s="65">
        <v>1.1547005383792517</v>
      </c>
      <c r="Y33" s="12">
        <v>7.7</v>
      </c>
      <c r="Z33" s="12">
        <v>2.2000000000000002</v>
      </c>
      <c r="AA33" s="12">
        <v>0.8</v>
      </c>
      <c r="AB33" s="83">
        <v>3.5666666666666669</v>
      </c>
      <c r="AC33" s="84">
        <v>3.6473734842120753</v>
      </c>
      <c r="AJ33" s="8"/>
      <c r="AK33" s="7"/>
      <c r="AL33" s="7"/>
      <c r="AN33" s="8"/>
      <c r="AO33" s="3"/>
      <c r="AP33" s="3"/>
      <c r="AQ33" s="3"/>
    </row>
    <row r="34" spans="1:43" x14ac:dyDescent="0.3">
      <c r="A34" s="70">
        <v>0.48194444444444445</v>
      </c>
      <c r="C34" s="4" t="s">
        <v>132</v>
      </c>
      <c r="E34" s="4">
        <v>17</v>
      </c>
      <c r="F34" s="4">
        <v>16.8</v>
      </c>
      <c r="G34" s="4">
        <v>16.7</v>
      </c>
      <c r="H34" s="4">
        <f>AVERAGE(E34:G34)</f>
        <v>16.833333333333332</v>
      </c>
      <c r="I34" s="4">
        <f>STDEV(E34:G34)</f>
        <v>0.15275252316519491</v>
      </c>
      <c r="J34" s="34">
        <v>3.82</v>
      </c>
      <c r="K34" s="34">
        <v>3.78</v>
      </c>
      <c r="L34" s="34">
        <v>3.77</v>
      </c>
      <c r="M34" s="13">
        <f>AVERAGE(J34:L34)</f>
        <v>3.7899999999999996</v>
      </c>
      <c r="N34" s="13">
        <f>STDEV(J34:L34)</f>
        <v>2.6457513110645845E-2</v>
      </c>
      <c r="O34" s="61">
        <v>120</v>
      </c>
      <c r="P34" s="61">
        <v>119</v>
      </c>
      <c r="Q34" s="61">
        <v>117</v>
      </c>
      <c r="R34" s="61"/>
      <c r="S34" s="61"/>
      <c r="T34" s="64">
        <v>58</v>
      </c>
      <c r="U34" s="64">
        <v>58</v>
      </c>
      <c r="V34" s="64">
        <v>57</v>
      </c>
      <c r="W34" s="64"/>
      <c r="X34" s="64"/>
      <c r="Y34" s="12">
        <v>8</v>
      </c>
      <c r="Z34" s="12">
        <v>7</v>
      </c>
      <c r="AA34" s="12">
        <v>5</v>
      </c>
      <c r="AB34" s="85">
        <f>AVERAGE(Y34:AA34)</f>
        <v>6.666666666666667</v>
      </c>
      <c r="AC34" s="85">
        <f>STDEV(Y34:AA34)</f>
        <v>1.5275252316519452</v>
      </c>
      <c r="AD34" s="41"/>
      <c r="AE34" s="41"/>
      <c r="AF34" s="41"/>
      <c r="AG34" s="42"/>
      <c r="AH34" s="42"/>
      <c r="AI34" s="67"/>
      <c r="AJ34" s="8"/>
      <c r="AK34" s="7"/>
      <c r="AL34" s="7"/>
      <c r="AN34" s="8"/>
      <c r="AO34" s="3"/>
      <c r="AP34" s="3"/>
      <c r="AQ34" s="3"/>
    </row>
    <row r="35" spans="1:43" x14ac:dyDescent="0.3">
      <c r="A35" s="4"/>
      <c r="J35" s="34"/>
      <c r="K35" s="34"/>
      <c r="L35" s="34"/>
      <c r="M35" s="10"/>
      <c r="N35" s="10"/>
      <c r="O35" s="62"/>
      <c r="P35" s="62"/>
      <c r="Q35" s="62"/>
      <c r="R35" s="62"/>
      <c r="S35" s="62"/>
      <c r="T35" s="65"/>
      <c r="U35" s="65"/>
      <c r="V35" s="65"/>
      <c r="W35" s="65"/>
      <c r="X35" s="65"/>
      <c r="Y35" s="12"/>
      <c r="Z35" s="12"/>
      <c r="AA35" s="12"/>
      <c r="AB35" s="36"/>
      <c r="AC35" s="40"/>
      <c r="AJ35" s="8"/>
      <c r="AK35" s="7"/>
      <c r="AL35" s="7"/>
      <c r="AN35" s="8"/>
      <c r="AO35" s="3"/>
      <c r="AP35" s="3"/>
      <c r="AQ35" s="3"/>
    </row>
  </sheetData>
  <mergeCells count="17">
    <mergeCell ref="E7:G7"/>
    <mergeCell ref="E30:G30"/>
    <mergeCell ref="J30:N30"/>
    <mergeCell ref="J7:N7"/>
    <mergeCell ref="Y30:AC30"/>
    <mergeCell ref="AD30:AH30"/>
    <mergeCell ref="O30:S30"/>
    <mergeCell ref="T30:X30"/>
    <mergeCell ref="Y7:AC7"/>
    <mergeCell ref="AD7:AH7"/>
    <mergeCell ref="J18:N18"/>
    <mergeCell ref="Y18:AC18"/>
    <mergeCell ref="AD18:AH18"/>
    <mergeCell ref="O7:S7"/>
    <mergeCell ref="O18:S18"/>
    <mergeCell ref="T7:X7"/>
    <mergeCell ref="T18:X1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AAEA6-8A95-3B41-A637-F96991DFBC4C}">
  <sheetPr>
    <tabColor theme="5" tint="0.39997558519241921"/>
  </sheetPr>
  <dimension ref="A2:F5"/>
  <sheetViews>
    <sheetView workbookViewId="0">
      <selection activeCell="C10" sqref="C10"/>
    </sheetView>
  </sheetViews>
  <sheetFormatPr baseColWidth="10" defaultColWidth="11.5" defaultRowHeight="22" x14ac:dyDescent="0.3"/>
  <cols>
    <col min="1" max="1" width="25" style="3" customWidth="1"/>
    <col min="2" max="3" width="27.5" style="4" customWidth="1"/>
    <col min="4" max="4" width="29.33203125" style="4" customWidth="1"/>
    <col min="5" max="5" width="33.5" bestFit="1" customWidth="1"/>
    <col min="6" max="6" width="51.5" customWidth="1"/>
  </cols>
  <sheetData>
    <row r="2" spans="1:6" s="20" customFormat="1" ht="47.25" customHeight="1" x14ac:dyDescent="0.2">
      <c r="A2" s="17" t="s">
        <v>133</v>
      </c>
      <c r="B2" s="17" t="s">
        <v>134</v>
      </c>
      <c r="C2" s="17" t="s">
        <v>135</v>
      </c>
      <c r="D2" s="18" t="s">
        <v>136</v>
      </c>
      <c r="E2" s="19" t="s">
        <v>137</v>
      </c>
      <c r="F2" s="21" t="s">
        <v>138</v>
      </c>
    </row>
    <row r="3" spans="1:6" ht="53" x14ac:dyDescent="0.3">
      <c r="A3" s="3" t="s">
        <v>35</v>
      </c>
      <c r="B3" s="4">
        <v>45.393300000000004</v>
      </c>
      <c r="C3" s="4">
        <v>-75.510000000000005</v>
      </c>
      <c r="D3" s="4" t="s">
        <v>139</v>
      </c>
      <c r="E3">
        <v>80</v>
      </c>
      <c r="F3" s="69" t="s">
        <v>140</v>
      </c>
    </row>
    <row r="4" spans="1:6" x14ac:dyDescent="0.3">
      <c r="A4" s="3" t="s">
        <v>129</v>
      </c>
      <c r="B4" s="4">
        <v>45.393203999999997</v>
      </c>
      <c r="C4" s="4">
        <v>-75.513850000000005</v>
      </c>
      <c r="D4" s="71" t="s">
        <v>177</v>
      </c>
      <c r="E4">
        <v>15</v>
      </c>
      <c r="F4" t="s">
        <v>176</v>
      </c>
    </row>
    <row r="5" spans="1:6" x14ac:dyDescent="0.3">
      <c r="A5" s="3" t="s">
        <v>182</v>
      </c>
      <c r="B5" s="4">
        <v>45.3936111111</v>
      </c>
      <c r="C5" s="4">
        <v>-75.512777777799997</v>
      </c>
      <c r="D5" s="4" t="s">
        <v>183</v>
      </c>
      <c r="E5">
        <v>0.8</v>
      </c>
      <c r="F5" t="s">
        <v>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4BB4D-D121-D543-BBB9-B62B767D530A}">
  <dimension ref="A1:G18"/>
  <sheetViews>
    <sheetView workbookViewId="0">
      <selection activeCell="C29" sqref="C29"/>
    </sheetView>
  </sheetViews>
  <sheetFormatPr baseColWidth="10" defaultColWidth="11.5" defaultRowHeight="16" x14ac:dyDescent="0.2"/>
  <cols>
    <col min="1" max="1" width="33.6640625" customWidth="1"/>
    <col min="7" max="7" width="15.6640625" customWidth="1"/>
  </cols>
  <sheetData>
    <row r="1" spans="1:7" ht="22" x14ac:dyDescent="0.3">
      <c r="A1" s="5" t="s">
        <v>141</v>
      </c>
      <c r="B1" s="6"/>
      <c r="C1" s="6"/>
      <c r="D1" s="6"/>
      <c r="E1" s="6"/>
      <c r="F1" s="6"/>
      <c r="G1" s="6"/>
    </row>
    <row r="3" spans="1:7" x14ac:dyDescent="0.2">
      <c r="A3" s="1" t="s">
        <v>142</v>
      </c>
    </row>
    <row r="4" spans="1:7" x14ac:dyDescent="0.2">
      <c r="A4" t="s">
        <v>143</v>
      </c>
    </row>
    <row r="5" spans="1:7" x14ac:dyDescent="0.2">
      <c r="A5" t="s">
        <v>144</v>
      </c>
    </row>
    <row r="6" spans="1:7" x14ac:dyDescent="0.2">
      <c r="A6" t="s">
        <v>145</v>
      </c>
    </row>
    <row r="7" spans="1:7" x14ac:dyDescent="0.2">
      <c r="A7" t="s">
        <v>146</v>
      </c>
    </row>
    <row r="8" spans="1:7" x14ac:dyDescent="0.2">
      <c r="A8" t="s">
        <v>147</v>
      </c>
    </row>
    <row r="9" spans="1:7" x14ac:dyDescent="0.2">
      <c r="A9" t="s">
        <v>148</v>
      </c>
    </row>
    <row r="10" spans="1:7" x14ac:dyDescent="0.2">
      <c r="A10" t="s">
        <v>55</v>
      </c>
    </row>
    <row r="11" spans="1:7" x14ac:dyDescent="0.2">
      <c r="A11" t="s">
        <v>37</v>
      </c>
    </row>
    <row r="12" spans="1:7" x14ac:dyDescent="0.2">
      <c r="A12" t="s">
        <v>29</v>
      </c>
    </row>
    <row r="13" spans="1:7" x14ac:dyDescent="0.2">
      <c r="A13" t="s">
        <v>149</v>
      </c>
    </row>
    <row r="14" spans="1:7" x14ac:dyDescent="0.2">
      <c r="A14" t="s">
        <v>83</v>
      </c>
    </row>
    <row r="15" spans="1:7" x14ac:dyDescent="0.2">
      <c r="A15" t="s">
        <v>150</v>
      </c>
    </row>
    <row r="16" spans="1:7" x14ac:dyDescent="0.2">
      <c r="A16" t="s">
        <v>51</v>
      </c>
    </row>
    <row r="17" spans="1:1" x14ac:dyDescent="0.2">
      <c r="A17" t="s">
        <v>43</v>
      </c>
    </row>
    <row r="18" spans="1:1" x14ac:dyDescent="0.2">
      <c r="A18" t="s">
        <v>151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A786E-0428-7E47-9320-95E06CCB68E5}">
  <dimension ref="A1:V47"/>
  <sheetViews>
    <sheetView zoomScale="59" workbookViewId="0">
      <selection activeCell="W28" sqref="W28"/>
    </sheetView>
  </sheetViews>
  <sheetFormatPr baseColWidth="10" defaultColWidth="10.6640625" defaultRowHeight="19" x14ac:dyDescent="0.25"/>
  <cols>
    <col min="1" max="1" width="13.5" style="54" customWidth="1"/>
    <col min="2" max="2" width="20" style="54" customWidth="1"/>
    <col min="3" max="3" width="16" style="54" customWidth="1"/>
    <col min="4" max="4" width="19" style="54" customWidth="1"/>
    <col min="5" max="9" width="10.6640625" style="54"/>
    <col min="10" max="10" width="25.5" style="54" customWidth="1"/>
    <col min="11" max="12" width="10.6640625" style="54"/>
    <col min="13" max="13" width="14" style="54" customWidth="1"/>
    <col min="14" max="21" width="10.6640625" style="54"/>
    <col min="22" max="22" width="26" style="54" customWidth="1"/>
    <col min="23" max="16384" width="10.6640625" style="54"/>
  </cols>
  <sheetData>
    <row r="1" spans="1:22" s="52" customFormat="1" ht="27" x14ac:dyDescent="0.35">
      <c r="A1" s="51" t="s">
        <v>152</v>
      </c>
    </row>
    <row r="3" spans="1:22" s="56" customFormat="1" ht="33" x14ac:dyDescent="0.4">
      <c r="A3" s="55" t="s">
        <v>153</v>
      </c>
      <c r="M3" s="55" t="s">
        <v>154</v>
      </c>
    </row>
    <row r="4" spans="1:22" x14ac:dyDescent="0.25">
      <c r="E4" s="78" t="s">
        <v>155</v>
      </c>
      <c r="F4" s="78"/>
      <c r="G4" s="78"/>
      <c r="H4" s="78"/>
      <c r="I4" s="78"/>
      <c r="J4" s="78"/>
      <c r="Q4" s="78" t="s">
        <v>155</v>
      </c>
      <c r="R4" s="78"/>
      <c r="S4" s="78"/>
      <c r="T4" s="78"/>
      <c r="U4" s="78"/>
      <c r="V4" s="78"/>
    </row>
    <row r="5" spans="1:22" x14ac:dyDescent="0.25">
      <c r="A5" s="53" t="s">
        <v>156</v>
      </c>
      <c r="B5" s="53" t="s">
        <v>157</v>
      </c>
      <c r="C5" s="53" t="s">
        <v>158</v>
      </c>
      <c r="D5" s="53" t="s">
        <v>159</v>
      </c>
      <c r="E5" s="53" t="s">
        <v>2</v>
      </c>
      <c r="F5" s="53" t="s">
        <v>3</v>
      </c>
      <c r="G5" s="53" t="s">
        <v>160</v>
      </c>
      <c r="H5" s="53" t="s">
        <v>161</v>
      </c>
      <c r="I5" s="53" t="s">
        <v>162</v>
      </c>
      <c r="J5" s="53" t="s">
        <v>163</v>
      </c>
      <c r="M5" s="53" t="s">
        <v>156</v>
      </c>
      <c r="N5" s="53" t="s">
        <v>157</v>
      </c>
      <c r="O5" s="53" t="s">
        <v>158</v>
      </c>
      <c r="P5" s="53" t="s">
        <v>159</v>
      </c>
      <c r="Q5" s="53" t="s">
        <v>2</v>
      </c>
      <c r="R5" s="53" t="s">
        <v>3</v>
      </c>
      <c r="S5" s="53" t="s">
        <v>160</v>
      </c>
      <c r="T5" s="53" t="s">
        <v>161</v>
      </c>
      <c r="U5" s="53" t="s">
        <v>162</v>
      </c>
      <c r="V5" s="53" t="s">
        <v>163</v>
      </c>
    </row>
    <row r="6" spans="1:22" x14ac:dyDescent="0.25">
      <c r="A6" s="54" t="str">
        <f>'BioBlitz Surveys - Wetland'!B4</f>
        <v>Bidens discoidea</v>
      </c>
      <c r="B6" s="54" t="str">
        <f>'BioBlitz Surveys - Wetland'!C4</f>
        <v xml:space="preserve">Swamp Beggarticks </v>
      </c>
      <c r="C6" s="54" t="str">
        <f>'BioBlitz Surveys - Wetland'!D4</f>
        <v>Aquatic plant | Plante aquatique</v>
      </c>
      <c r="D6" s="54" t="str">
        <f>'BioBlitz Surveys - Wetland'!E4</f>
        <v>Pink</v>
      </c>
      <c r="E6" s="54">
        <f>'BioBlitz Surveys - Wetland'!I4</f>
        <v>0.75</v>
      </c>
      <c r="F6" s="54">
        <f>'BioBlitz Surveys - Wetland'!N4</f>
        <v>0.05</v>
      </c>
      <c r="G6" s="54">
        <f>'BioBlitz Surveys - Wetland'!S4</f>
        <v>0.05</v>
      </c>
      <c r="H6" s="54">
        <f>'BioBlitz Surveys - Wetland'!X4</f>
        <v>0.05</v>
      </c>
      <c r="I6" s="54" t="str">
        <f>'BioBlitz Surveys - Wetland'!AC4</f>
        <v/>
      </c>
      <c r="J6" s="79">
        <f>AVERAGE(E6:I6)</f>
        <v>0.22500000000000003</v>
      </c>
      <c r="M6" s="54" t="str">
        <f>'BioBlitz Surveys - Forest'!B4</f>
        <v>Acer</v>
      </c>
      <c r="N6" s="54" t="str">
        <f>'BioBlitz Surveys - Forest'!C4</f>
        <v>Maple</v>
      </c>
      <c r="O6" s="54" t="str">
        <f>'BioBlitz Surveys - Forest'!D4</f>
        <v>Deciduous tree | Arbre décidu</v>
      </c>
      <c r="P6" s="54" t="str">
        <f>'BioBlitz Surveys - Forest'!E4</f>
        <v>Pink</v>
      </c>
      <c r="Q6" s="54" t="str">
        <f>'BioBlitz Surveys - Forest'!I4</f>
        <v/>
      </c>
      <c r="R6" s="54" t="str">
        <f>'BioBlitz Surveys - Forest'!N4</f>
        <v/>
      </c>
      <c r="S6" s="54" t="str">
        <f>'BioBlitz Surveys - Forest'!S4</f>
        <v/>
      </c>
      <c r="T6" s="54" t="str">
        <f>'BioBlitz Surveys - Forest'!X4</f>
        <v/>
      </c>
      <c r="U6" s="54">
        <f>'BioBlitz Surveys - Forest'!AC4</f>
        <v>0.05</v>
      </c>
      <c r="V6" s="79">
        <f>AVERAGE(Q6:U6)</f>
        <v>0.05</v>
      </c>
    </row>
    <row r="7" spans="1:22" x14ac:dyDescent="0.25">
      <c r="A7" s="54" t="str">
        <f>'BioBlitz Surveys - Wetland'!B5</f>
        <v xml:space="preserve">Chamaedaphne calyculata </v>
      </c>
      <c r="B7" s="54" t="str">
        <f>'BioBlitz Surveys - Wetland'!C5</f>
        <v xml:space="preserve">Leather leaf </v>
      </c>
      <c r="C7" s="54" t="str">
        <f>'BioBlitz Surveys - Wetland'!D5</f>
        <v>Shrub | Arbuste</v>
      </c>
      <c r="D7" s="54" t="str">
        <f>'BioBlitz Surveys - Wetland'!E5</f>
        <v>Pink</v>
      </c>
      <c r="E7" s="54">
        <f>'BioBlitz Surveys - Wetland'!I5</f>
        <v>0.25</v>
      </c>
      <c r="F7" s="54">
        <f>'BioBlitz Surveys - Wetland'!N5</f>
        <v>0.25</v>
      </c>
      <c r="G7" s="54">
        <f>'BioBlitz Surveys - Wetland'!S5</f>
        <v>0.25</v>
      </c>
      <c r="H7" s="54" t="str">
        <f>'BioBlitz Surveys - Wetland'!X5</f>
        <v/>
      </c>
      <c r="I7" s="54">
        <f>'BioBlitz Surveys - Wetland'!AC5</f>
        <v>0.25</v>
      </c>
      <c r="J7" s="79">
        <f t="shared" ref="J7:J70" si="0">AVERAGE(E7:I7)</f>
        <v>0.25</v>
      </c>
      <c r="M7" s="54" t="str">
        <f>'BioBlitz Surveys - Forest'!B5</f>
        <v>Anthyrium angustum</v>
      </c>
      <c r="N7" s="54" t="str">
        <f>'BioBlitz Surveys - Forest'!C5</f>
        <v>Northern Lady fern</v>
      </c>
      <c r="O7" s="54" t="str">
        <f>'BioBlitz Surveys - Forest'!D5</f>
        <v>Fern | Fougère</v>
      </c>
      <c r="P7" s="54" t="str">
        <f>'BioBlitz Surveys - Forest'!E5</f>
        <v>Pink</v>
      </c>
      <c r="Q7" s="54" t="str">
        <f>'BioBlitz Surveys - Forest'!I5</f>
        <v/>
      </c>
      <c r="R7" s="54" t="str">
        <f>'BioBlitz Surveys - Forest'!N5</f>
        <v/>
      </c>
      <c r="S7" s="54">
        <f>'BioBlitz Surveys - Forest'!S5</f>
        <v>0.25</v>
      </c>
      <c r="T7" s="54" t="str">
        <f>'BioBlitz Surveys - Forest'!X5</f>
        <v/>
      </c>
      <c r="U7" s="54" t="str">
        <f>'BioBlitz Surveys - Forest'!AC5</f>
        <v/>
      </c>
      <c r="V7" s="79">
        <f t="shared" ref="V7:V70" si="1">AVERAGE(Q7:U7)</f>
        <v>0.25</v>
      </c>
    </row>
    <row r="8" spans="1:22" x14ac:dyDescent="0.25">
      <c r="A8" s="54" t="str">
        <f>'BioBlitz Surveys - Wetland'!B6</f>
        <v>Dulichium arundinaceum</v>
      </c>
      <c r="B8" s="54" t="str">
        <f>'BioBlitz Surveys - Wetland'!C6</f>
        <v xml:space="preserve">Three-way sedge </v>
      </c>
      <c r="C8" s="54" t="str">
        <f>'BioBlitz Surveys - Wetland'!D6</f>
        <v>Grass or Sedge | Graminée</v>
      </c>
      <c r="D8" s="54" t="str">
        <f>'BioBlitz Surveys - Wetland'!E6</f>
        <v>Pink</v>
      </c>
      <c r="E8" s="54" t="str">
        <f>'BioBlitz Surveys - Wetland'!I6</f>
        <v/>
      </c>
      <c r="F8" s="54">
        <f>'BioBlitz Surveys - Wetland'!N6</f>
        <v>0.25</v>
      </c>
      <c r="G8" s="54">
        <f>'BioBlitz Surveys - Wetland'!S6</f>
        <v>0.25</v>
      </c>
      <c r="H8" s="54">
        <f>'BioBlitz Surveys - Wetland'!X6</f>
        <v>0.25</v>
      </c>
      <c r="I8" s="54" t="str">
        <f>'BioBlitz Surveys - Wetland'!AC6</f>
        <v/>
      </c>
      <c r="J8" s="79">
        <f t="shared" si="0"/>
        <v>0.25</v>
      </c>
      <c r="M8" s="54" t="str">
        <f>'BioBlitz Surveys - Forest'!B6</f>
        <v>Asclepias incarnata</v>
      </c>
      <c r="N8" s="54" t="str">
        <f>'BioBlitz Surveys - Forest'!C6</f>
        <v>Swamp milkweed</v>
      </c>
      <c r="O8" s="54" t="str">
        <f>'BioBlitz Surveys - Forest'!D6</f>
        <v>Grass or Sedge | Graminée</v>
      </c>
      <c r="P8" s="54" t="str">
        <f>'BioBlitz Surveys - Forest'!E6</f>
        <v>Pink</v>
      </c>
      <c r="Q8" s="54" t="str">
        <f>'BioBlitz Surveys - Forest'!I6</f>
        <v/>
      </c>
      <c r="R8" s="54" t="str">
        <f>'BioBlitz Surveys - Forest'!N6</f>
        <v/>
      </c>
      <c r="S8" s="54">
        <f>'BioBlitz Surveys - Forest'!S6</f>
        <v>0.05</v>
      </c>
      <c r="T8" s="54" t="str">
        <f>'BioBlitz Surveys - Forest'!X6</f>
        <v/>
      </c>
      <c r="U8" s="54" t="str">
        <f>'BioBlitz Surveys - Forest'!AC6</f>
        <v/>
      </c>
      <c r="V8" s="79">
        <f t="shared" si="1"/>
        <v>0.05</v>
      </c>
    </row>
    <row r="9" spans="1:22" x14ac:dyDescent="0.25">
      <c r="A9" s="54" t="str">
        <f>'BioBlitz Surveys - Wetland'!B7</f>
        <v>Galium</v>
      </c>
      <c r="B9" s="54" t="str">
        <f>'BioBlitz Surveys - Wetland'!C7</f>
        <v>Bedstraws</v>
      </c>
      <c r="C9" s="54" t="str">
        <f>'BioBlitz Surveys - Wetland'!D7</f>
        <v>Shrub | Arbuste</v>
      </c>
      <c r="D9" s="54" t="str">
        <f>'BioBlitz Surveys - Wetland'!E7</f>
        <v>Pink</v>
      </c>
      <c r="E9" s="54" t="str">
        <f>'BioBlitz Surveys - Wetland'!I7</f>
        <v/>
      </c>
      <c r="F9" s="54" t="str">
        <f>'BioBlitz Surveys - Wetland'!N7</f>
        <v/>
      </c>
      <c r="G9" s="54" t="str">
        <f>'BioBlitz Surveys - Wetland'!S7</f>
        <v/>
      </c>
      <c r="H9" s="54">
        <f>'BioBlitz Surveys - Wetland'!X7</f>
        <v>0.05</v>
      </c>
      <c r="I9" s="54">
        <f>'BioBlitz Surveys - Wetland'!AC7</f>
        <v>0.05</v>
      </c>
      <c r="J9" s="79">
        <f t="shared" si="0"/>
        <v>0.05</v>
      </c>
      <c r="M9" s="54" t="str">
        <f>'BioBlitz Surveys - Forest'!B7</f>
        <v>Chinavia hilaris</v>
      </c>
      <c r="N9" s="54" t="str">
        <f>'BioBlitz Surveys - Forest'!C7</f>
        <v>Green stink bug</v>
      </c>
      <c r="O9" s="54" t="str">
        <f>'BioBlitz Surveys - Forest'!D7</f>
        <v>Insect | Insecte</v>
      </c>
      <c r="P9" s="54" t="str">
        <f>'BioBlitz Surveys - Forest'!E7</f>
        <v>Pink</v>
      </c>
      <c r="Q9" s="54" t="str">
        <f>'BioBlitz Surveys - Forest'!I7</f>
        <v/>
      </c>
      <c r="R9" s="54" t="str">
        <f>'BioBlitz Surveys - Forest'!N7</f>
        <v/>
      </c>
      <c r="S9" s="54" t="str">
        <f>'BioBlitz Surveys - Forest'!S7</f>
        <v/>
      </c>
      <c r="T9" s="54" t="str">
        <f>'BioBlitz Surveys - Forest'!X7</f>
        <v/>
      </c>
      <c r="U9" s="54" t="str">
        <f>'BioBlitz Surveys - Forest'!AC7</f>
        <v/>
      </c>
      <c r="V9" s="79" t="e">
        <f t="shared" si="1"/>
        <v>#DIV/0!</v>
      </c>
    </row>
    <row r="10" spans="1:22" x14ac:dyDescent="0.25">
      <c r="A10" s="54" t="str">
        <f>'BioBlitz Surveys - Wetland'!B8</f>
        <v>Lycopus uniflorus</v>
      </c>
      <c r="B10" s="54" t="str">
        <f>'BioBlitz Surveys - Wetland'!C8</f>
        <v>Northern water-horehound</v>
      </c>
      <c r="C10" s="54" t="str">
        <f>'BioBlitz Surveys - Wetland'!D8</f>
        <v>Grass or Sedge | Graminée</v>
      </c>
      <c r="D10" s="54" t="str">
        <f>'BioBlitz Surveys - Wetland'!E8</f>
        <v>Pink</v>
      </c>
      <c r="E10" s="54" t="str">
        <f>'BioBlitz Surveys - Wetland'!I8</f>
        <v/>
      </c>
      <c r="F10" s="54" t="str">
        <f>'BioBlitz Surveys - Wetland'!N8</f>
        <v/>
      </c>
      <c r="G10" s="54" t="str">
        <f>'BioBlitz Surveys - Wetland'!S8</f>
        <v/>
      </c>
      <c r="H10" s="54">
        <f>'BioBlitz Surveys - Wetland'!X8</f>
        <v>0.05</v>
      </c>
      <c r="I10" s="54">
        <f>'BioBlitz Surveys - Wetland'!AC8</f>
        <v>0.05</v>
      </c>
      <c r="J10" s="79">
        <f t="shared" si="0"/>
        <v>0.05</v>
      </c>
      <c r="M10" s="54" t="str">
        <f>'BioBlitz Surveys - Forest'!B8</f>
        <v>Doellingeria umbellata</v>
      </c>
      <c r="N10" s="54" t="str">
        <f>'BioBlitz Surveys - Forest'!C8</f>
        <v>Flat-top White Aster</v>
      </c>
      <c r="O10" s="54" t="str">
        <f>'BioBlitz Surveys - Forest'!D8</f>
        <v>Grass or Sedge | Graminée</v>
      </c>
      <c r="P10" s="54" t="str">
        <f>'BioBlitz Surveys - Forest'!E8</f>
        <v>Pink</v>
      </c>
      <c r="Q10" s="54" t="str">
        <f>'BioBlitz Surveys - Forest'!I8</f>
        <v/>
      </c>
      <c r="R10" s="54" t="str">
        <f>'BioBlitz Surveys - Forest'!N8</f>
        <v/>
      </c>
      <c r="S10" s="54" t="str">
        <f>'BioBlitz Surveys - Forest'!S8</f>
        <v/>
      </c>
      <c r="T10" s="54">
        <f>'BioBlitz Surveys - Forest'!X8</f>
        <v>0.05</v>
      </c>
      <c r="U10" s="54">
        <f>'BioBlitz Surveys - Forest'!AC8</f>
        <v>0.05</v>
      </c>
      <c r="V10" s="79">
        <f t="shared" si="1"/>
        <v>0.05</v>
      </c>
    </row>
    <row r="11" spans="1:22" x14ac:dyDescent="0.25">
      <c r="A11" s="54" t="str">
        <f>'BioBlitz Surveys - Wetland'!B9</f>
        <v>Lythrum salicaria</v>
      </c>
      <c r="B11" s="54" t="str">
        <f>'BioBlitz Surveys - Wetland'!C9</f>
        <v>Purple loosestrife</v>
      </c>
      <c r="C11" s="54" t="str">
        <f>'BioBlitz Surveys - Wetland'!D9</f>
        <v>Grass or Sedge | Graminée</v>
      </c>
      <c r="D11" s="54" t="str">
        <f>'BioBlitz Surveys - Wetland'!E9</f>
        <v>Pink</v>
      </c>
      <c r="E11" s="54" t="str">
        <f>'BioBlitz Surveys - Wetland'!I9</f>
        <v/>
      </c>
      <c r="F11" s="54" t="str">
        <f>'BioBlitz Surveys - Wetland'!N9</f>
        <v/>
      </c>
      <c r="G11" s="54" t="str">
        <f>'BioBlitz Surveys - Wetland'!S9</f>
        <v/>
      </c>
      <c r="H11" s="54" t="str">
        <f>'BioBlitz Surveys - Wetland'!X9</f>
        <v/>
      </c>
      <c r="I11" s="54">
        <f>'BioBlitz Surveys - Wetland'!AC9</f>
        <v>0.05</v>
      </c>
      <c r="J11" s="79">
        <f t="shared" si="0"/>
        <v>0.05</v>
      </c>
      <c r="M11" s="54" t="str">
        <f>'BioBlitz Surveys - Forest'!B9</f>
        <v>Equisetum pratense</v>
      </c>
      <c r="N11" s="54" t="str">
        <f>'BioBlitz Surveys - Forest'!C9</f>
        <v>Meadow horsetail</v>
      </c>
      <c r="O11" s="54" t="str">
        <f>'BioBlitz Surveys - Forest'!D9</f>
        <v>Grass or Sedge | Graminée</v>
      </c>
      <c r="P11" s="54" t="str">
        <f>'BioBlitz Surveys - Forest'!E9</f>
        <v>Pink</v>
      </c>
      <c r="Q11" s="54">
        <f>'BioBlitz Surveys - Forest'!I9</f>
        <v>0.05</v>
      </c>
      <c r="R11" s="54">
        <f>'BioBlitz Surveys - Forest'!N9</f>
        <v>0.05</v>
      </c>
      <c r="S11" s="54" t="str">
        <f>'BioBlitz Surveys - Forest'!S9</f>
        <v/>
      </c>
      <c r="T11" s="54" t="str">
        <f>'BioBlitz Surveys - Forest'!X9</f>
        <v/>
      </c>
      <c r="U11" s="54" t="str">
        <f>'BioBlitz Surveys - Forest'!AC9</f>
        <v/>
      </c>
      <c r="V11" s="79">
        <f t="shared" si="1"/>
        <v>0.05</v>
      </c>
    </row>
    <row r="12" spans="1:22" x14ac:dyDescent="0.25">
      <c r="A12" s="54" t="str">
        <f>'BioBlitz Surveys - Wetland'!B10</f>
        <v xml:space="preserve">Onoclea sensibilis </v>
      </c>
      <c r="B12" s="54" t="str">
        <f>'BioBlitz Surveys - Wetland'!C10</f>
        <v xml:space="preserve">Sensitive fern </v>
      </c>
      <c r="C12" s="54" t="str">
        <f>'BioBlitz Surveys - Wetland'!D10</f>
        <v>Fern | Fougère</v>
      </c>
      <c r="D12" s="54" t="str">
        <f>'BioBlitz Surveys - Wetland'!E10</f>
        <v>Pink</v>
      </c>
      <c r="E12" s="54">
        <f>'BioBlitz Surveys - Wetland'!I10</f>
        <v>0.05</v>
      </c>
      <c r="F12" s="54">
        <f>'BioBlitz Surveys - Wetland'!N10</f>
        <v>0.05</v>
      </c>
      <c r="G12" s="54">
        <f>'BioBlitz Surveys - Wetland'!S10</f>
        <v>0.05</v>
      </c>
      <c r="H12" s="54">
        <f>'BioBlitz Surveys - Wetland'!X10</f>
        <v>0.05</v>
      </c>
      <c r="I12" s="54">
        <f>'BioBlitz Surveys - Wetland'!AC10</f>
        <v>0.05</v>
      </c>
      <c r="J12" s="79">
        <f t="shared" si="0"/>
        <v>0.05</v>
      </c>
      <c r="M12" s="54" t="str">
        <f>'BioBlitz Surveys - Forest'!B10</f>
        <v xml:space="preserve">Frangula alnus </v>
      </c>
      <c r="N12" s="54" t="str">
        <f>'BioBlitz Surveys - Forest'!C10</f>
        <v>glossy buckthorn</v>
      </c>
      <c r="O12" s="54" t="str">
        <f>'BioBlitz Surveys - Forest'!D10</f>
        <v>Deciduous tree | Arbre décidu</v>
      </c>
      <c r="P12" s="54" t="str">
        <f>'BioBlitz Surveys - Forest'!E10</f>
        <v>Pink</v>
      </c>
      <c r="Q12" s="54" t="str">
        <f>'BioBlitz Surveys - Forest'!I10</f>
        <v/>
      </c>
      <c r="R12" s="54">
        <f>'BioBlitz Surveys - Forest'!N10</f>
        <v>0.25</v>
      </c>
      <c r="S12" s="54" t="str">
        <f>'BioBlitz Surveys - Forest'!S10</f>
        <v/>
      </c>
      <c r="T12" s="54" t="str">
        <f>'BioBlitz Surveys - Forest'!X10</f>
        <v/>
      </c>
      <c r="U12" s="54" t="str">
        <f>'BioBlitz Surveys - Forest'!AC10</f>
        <v/>
      </c>
      <c r="V12" s="79">
        <f t="shared" si="1"/>
        <v>0.25</v>
      </c>
    </row>
    <row r="13" spans="1:22" x14ac:dyDescent="0.25">
      <c r="A13" s="54" t="str">
        <f>'BioBlitz Surveys - Wetland'!B11</f>
        <v>Phalaris canariensis</v>
      </c>
      <c r="B13" s="54" t="str">
        <f>'BioBlitz Surveys - Wetland'!C11</f>
        <v>Seed canary grass</v>
      </c>
      <c r="C13" s="54" t="str">
        <f>'BioBlitz Surveys - Wetland'!D11</f>
        <v>Grass or Sedge | Graminée</v>
      </c>
      <c r="D13" s="54" t="str">
        <f>'BioBlitz Surveys - Wetland'!E11</f>
        <v>Pink</v>
      </c>
      <c r="E13" s="54" t="str">
        <f>'BioBlitz Surveys - Wetland'!I11</f>
        <v/>
      </c>
      <c r="F13" s="54">
        <f>'BioBlitz Surveys - Wetland'!N11</f>
        <v>0.25</v>
      </c>
      <c r="G13" s="54" t="str">
        <f>'BioBlitz Surveys - Wetland'!S11</f>
        <v/>
      </c>
      <c r="H13" s="54">
        <f>'BioBlitz Surveys - Wetland'!X11</f>
        <v>0.25</v>
      </c>
      <c r="I13" s="54">
        <f>'BioBlitz Surveys - Wetland'!AC11</f>
        <v>0.25</v>
      </c>
      <c r="J13" s="79">
        <f t="shared" si="0"/>
        <v>0.25</v>
      </c>
      <c r="M13" s="54" t="str">
        <f>'BioBlitz Surveys - Forest'!B11</f>
        <v>Galium palustre</v>
      </c>
      <c r="N13" s="54" t="str">
        <f>'BioBlitz Surveys - Forest'!C11</f>
        <v>Common marsh bed straw</v>
      </c>
      <c r="O13" s="54" t="str">
        <f>'BioBlitz Surveys - Forest'!D11</f>
        <v>Grass or Sedge | Graminée</v>
      </c>
      <c r="P13" s="54" t="str">
        <f>'BioBlitz Surveys - Forest'!E11</f>
        <v>Pink</v>
      </c>
      <c r="Q13" s="54">
        <f>'BioBlitz Surveys - Forest'!I11</f>
        <v>0.05</v>
      </c>
      <c r="R13" s="54" t="str">
        <f>'BioBlitz Surveys - Forest'!N11</f>
        <v/>
      </c>
      <c r="S13" s="54" t="str">
        <f>'BioBlitz Surveys - Forest'!S11</f>
        <v/>
      </c>
      <c r="T13" s="54" t="str">
        <f>'BioBlitz Surveys - Forest'!X11</f>
        <v/>
      </c>
      <c r="U13" s="54" t="str">
        <f>'BioBlitz Surveys - Forest'!AC11</f>
        <v/>
      </c>
      <c r="V13" s="79"/>
    </row>
    <row r="14" spans="1:22" x14ac:dyDescent="0.25">
      <c r="A14" s="54" t="str">
        <f>'BioBlitz Surveys - Wetland'!B12</f>
        <v>Spiraea tomentosa</v>
      </c>
      <c r="B14" s="54" t="str">
        <f>'BioBlitz Surveys - Wetland'!C12</f>
        <v xml:space="preserve">Steeplebush </v>
      </c>
      <c r="C14" s="54" t="str">
        <f>'BioBlitz Surveys - Wetland'!D12</f>
        <v>Shrub | Arbuste</v>
      </c>
      <c r="D14" s="54" t="str">
        <f>'BioBlitz Surveys - Wetland'!E12</f>
        <v>Pink</v>
      </c>
      <c r="E14" s="54">
        <f>'BioBlitz Surveys - Wetland'!I12</f>
        <v>0.5</v>
      </c>
      <c r="F14" s="54" t="str">
        <f>'BioBlitz Surveys - Wetland'!N12</f>
        <v/>
      </c>
      <c r="G14" s="54" t="str">
        <f>'BioBlitz Surveys - Wetland'!S12</f>
        <v/>
      </c>
      <c r="H14" s="54">
        <f>'BioBlitz Surveys - Wetland'!X12</f>
        <v>0.05</v>
      </c>
      <c r="I14" s="54">
        <f>'BioBlitz Surveys - Wetland'!AC12</f>
        <v>0.05</v>
      </c>
      <c r="J14" s="79">
        <f t="shared" si="0"/>
        <v>0.20000000000000004</v>
      </c>
      <c r="M14" s="54" t="str">
        <f>'BioBlitz Surveys - Forest'!B12</f>
        <v>gastropoda</v>
      </c>
      <c r="N14" s="54" t="str">
        <f>'BioBlitz Surveys - Forest'!C12</f>
        <v>snails</v>
      </c>
      <c r="O14" s="54" t="str">
        <f>'BioBlitz Surveys - Forest'!D12</f>
        <v>Insect | Insecte</v>
      </c>
      <c r="P14" s="54" t="str">
        <f>'BioBlitz Surveys - Forest'!E12</f>
        <v>pink</v>
      </c>
      <c r="Q14" s="54" t="str">
        <f>'BioBlitz Surveys - Forest'!I12</f>
        <v/>
      </c>
      <c r="R14" s="54" t="str">
        <f>'BioBlitz Surveys - Forest'!N12</f>
        <v/>
      </c>
      <c r="S14" s="54" t="str">
        <f>'BioBlitz Surveys - Forest'!S12</f>
        <v/>
      </c>
      <c r="T14" s="54" t="str">
        <f>'BioBlitz Surveys - Forest'!X12</f>
        <v/>
      </c>
      <c r="U14" s="54">
        <f>'BioBlitz Surveys - Forest'!AC12</f>
        <v>0.25</v>
      </c>
      <c r="V14" s="79">
        <f t="shared" si="1"/>
        <v>0.25</v>
      </c>
    </row>
    <row r="15" spans="1:22" x14ac:dyDescent="0.25">
      <c r="A15" s="54" t="str">
        <f>'BioBlitz Surveys - Wetland'!B13</f>
        <v>Thelypteris palustris</v>
      </c>
      <c r="B15" s="54" t="str">
        <f>'BioBlitz Surveys - Wetland'!C13</f>
        <v>Marsh Fern</v>
      </c>
      <c r="C15" s="54" t="str">
        <f>'BioBlitz Surveys - Wetland'!D13</f>
        <v>Fern | Fougère</v>
      </c>
      <c r="D15" s="54" t="str">
        <f>'BioBlitz Surveys - Wetland'!E13</f>
        <v>Pink</v>
      </c>
      <c r="E15" s="54" t="str">
        <f>'BioBlitz Surveys - Wetland'!I13</f>
        <v/>
      </c>
      <c r="F15" s="54" t="str">
        <f>'BioBlitz Surveys - Wetland'!N13</f>
        <v/>
      </c>
      <c r="G15" s="54">
        <f>'BioBlitz Surveys - Wetland'!S13</f>
        <v>0.05</v>
      </c>
      <c r="H15" s="54" t="str">
        <f>'BioBlitz Surveys - Wetland'!X13</f>
        <v/>
      </c>
      <c r="I15" s="54" t="str">
        <f>'BioBlitz Surveys - Wetland'!AC13</f>
        <v/>
      </c>
      <c r="J15" s="79">
        <f t="shared" si="0"/>
        <v>0.05</v>
      </c>
      <c r="M15" s="54" t="str">
        <f>'BioBlitz Surveys - Forest'!B13</f>
        <v>Geum macrophyllum</v>
      </c>
      <c r="N15" s="54" t="str">
        <f>'BioBlitz Surveys - Forest'!C13</f>
        <v>Large leafed Avens</v>
      </c>
      <c r="O15" s="54" t="str">
        <f>'BioBlitz Surveys - Forest'!D13</f>
        <v>Grass or Sedge | Graminée</v>
      </c>
      <c r="P15" s="54" t="str">
        <f>'BioBlitz Surveys - Forest'!E13</f>
        <v>Pink</v>
      </c>
      <c r="Q15" s="54">
        <f>'BioBlitz Surveys - Forest'!I13</f>
        <v>0.05</v>
      </c>
      <c r="R15" s="54" t="str">
        <f>'BioBlitz Surveys - Forest'!N13</f>
        <v/>
      </c>
      <c r="S15" s="54" t="str">
        <f>'BioBlitz Surveys - Forest'!S13</f>
        <v/>
      </c>
      <c r="T15" s="54" t="str">
        <f>'BioBlitz Surveys - Forest'!X13</f>
        <v/>
      </c>
      <c r="U15" s="54" t="str">
        <f>'BioBlitz Surveys - Forest'!AC13</f>
        <v/>
      </c>
      <c r="V15" s="79">
        <f t="shared" si="1"/>
        <v>0.05</v>
      </c>
    </row>
    <row r="16" spans="1:22" x14ac:dyDescent="0.25">
      <c r="A16" s="54" t="str">
        <f>'BioBlitz Surveys - Wetland'!B14</f>
        <v xml:space="preserve">Typha angustifolia </v>
      </c>
      <c r="B16" s="54" t="str">
        <f>'BioBlitz Surveys - Wetland'!C14</f>
        <v xml:space="preserve">Narrow-leaved Cattail </v>
      </c>
      <c r="C16" s="54" t="str">
        <f>'BioBlitz Surveys - Wetland'!D14</f>
        <v>Aquatic plant | Plante aquatique</v>
      </c>
      <c r="D16" s="54" t="str">
        <f>'BioBlitz Surveys - Wetland'!E14</f>
        <v>Pink</v>
      </c>
      <c r="E16" s="54">
        <f>'BioBlitz Surveys - Wetland'!I14</f>
        <v>0.75</v>
      </c>
      <c r="F16" s="54">
        <f>'BioBlitz Surveys - Wetland'!N14</f>
        <v>0.75</v>
      </c>
      <c r="G16" s="54">
        <f>'BioBlitz Surveys - Wetland'!S14</f>
        <v>0.75</v>
      </c>
      <c r="H16" s="54">
        <f>'BioBlitz Surveys - Wetland'!X14</f>
        <v>0.75</v>
      </c>
      <c r="I16" s="54">
        <f>'BioBlitz Surveys - Wetland'!AC14</f>
        <v>0.75</v>
      </c>
      <c r="J16" s="79">
        <f t="shared" si="0"/>
        <v>0.75</v>
      </c>
      <c r="M16" s="54" t="str">
        <f>'BioBlitz Surveys - Forest'!B14</f>
        <v>Halyomorpha halys</v>
      </c>
      <c r="N16" s="54" t="str">
        <f>'BioBlitz Surveys - Forest'!C14</f>
        <v xml:space="preserve">brown stink bug </v>
      </c>
      <c r="O16" s="54" t="str">
        <f>'BioBlitz Surveys - Forest'!D14</f>
        <v>Insect | Insecte</v>
      </c>
      <c r="P16" s="54" t="str">
        <f>'BioBlitz Surveys - Forest'!E14</f>
        <v>Pink</v>
      </c>
      <c r="Q16" s="54" t="str">
        <f>'BioBlitz Surveys - Forest'!I14</f>
        <v/>
      </c>
      <c r="R16" s="54" t="str">
        <f>'BioBlitz Surveys - Forest'!N14</f>
        <v/>
      </c>
      <c r="S16" s="54" t="str">
        <f>'BioBlitz Surveys - Forest'!S14</f>
        <v/>
      </c>
      <c r="T16" s="54" t="str">
        <f>'BioBlitz Surveys - Forest'!X14</f>
        <v/>
      </c>
      <c r="U16" s="54" t="str">
        <f>'BioBlitz Surveys - Forest'!AC14</f>
        <v/>
      </c>
      <c r="V16" s="79" t="e">
        <f t="shared" si="1"/>
        <v>#DIV/0!</v>
      </c>
    </row>
    <row r="17" spans="1:22" x14ac:dyDescent="0.25">
      <c r="A17" s="54" t="str">
        <f>'BioBlitz Surveys - Wetland'!B15</f>
        <v>Alnus sp.</v>
      </c>
      <c r="B17" s="54" t="str">
        <f>'BioBlitz Surveys - Wetland'!C15</f>
        <v>Alder</v>
      </c>
      <c r="C17" s="54" t="str">
        <f>'BioBlitz Surveys - Wetland'!D15</f>
        <v>Deciduous tree | Arbre décidu</v>
      </c>
      <c r="D17" s="54" t="str">
        <f>'BioBlitz Surveys - Wetland'!E15</f>
        <v>Purple</v>
      </c>
      <c r="E17" s="54" t="str">
        <f>'BioBlitz Surveys - Wetland'!I15</f>
        <v/>
      </c>
      <c r="F17" s="54">
        <f>'BioBlitz Surveys - Wetland'!N15</f>
        <v>0.05</v>
      </c>
      <c r="G17" s="54" t="str">
        <f>'BioBlitz Surveys - Wetland'!S15</f>
        <v/>
      </c>
      <c r="H17" s="54" t="str">
        <f>'BioBlitz Surveys - Wetland'!X15</f>
        <v/>
      </c>
      <c r="I17" s="54" t="str">
        <f>'BioBlitz Surveys - Wetland'!AC15</f>
        <v/>
      </c>
      <c r="J17" s="79">
        <f t="shared" si="0"/>
        <v>0.05</v>
      </c>
      <c r="M17" s="54" t="str">
        <f>'BioBlitz Surveys - Forest'!B15</f>
        <v>Hypnales</v>
      </c>
      <c r="N17" s="54" t="str">
        <f>'BioBlitz Surveys - Forest'!C15</f>
        <v>Feather Moss</v>
      </c>
      <c r="O17" s="54" t="str">
        <f>'BioBlitz Surveys - Forest'!D15</f>
        <v>Moss | Mousse</v>
      </c>
      <c r="P17" s="54" t="str">
        <f>'BioBlitz Surveys - Forest'!E15</f>
        <v>Pink</v>
      </c>
      <c r="Q17" s="54">
        <f>'BioBlitz Surveys - Forest'!I15</f>
        <v>0.25</v>
      </c>
      <c r="R17" s="54" t="str">
        <f>'BioBlitz Surveys - Forest'!N15</f>
        <v/>
      </c>
      <c r="S17" s="54" t="str">
        <f>'BioBlitz Surveys - Forest'!S15</f>
        <v/>
      </c>
      <c r="T17" s="54" t="str">
        <f>'BioBlitz Surveys - Forest'!X15</f>
        <v/>
      </c>
      <c r="U17" s="54" t="str">
        <f>'BioBlitz Surveys - Forest'!AC15</f>
        <v/>
      </c>
      <c r="V17" s="79">
        <f t="shared" si="1"/>
        <v>0.25</v>
      </c>
    </row>
    <row r="18" spans="1:22" x14ac:dyDescent="0.25">
      <c r="A18" s="54" t="str">
        <f>'BioBlitz Surveys - Wetland'!B16</f>
        <v>Calla palustris</v>
      </c>
      <c r="B18" s="54" t="str">
        <f>'BioBlitz Surveys - Wetland'!C16</f>
        <v>Marsh callas</v>
      </c>
      <c r="C18" s="54" t="str">
        <f>'BioBlitz Surveys - Wetland'!D16</f>
        <v>Aquatic plant | Plante aquatique</v>
      </c>
      <c r="D18" s="54" t="str">
        <f>'BioBlitz Surveys - Wetland'!E16</f>
        <v>Purple</v>
      </c>
      <c r="E18" s="54">
        <f>'BioBlitz Surveys - Wetland'!I16</f>
        <v>0.05</v>
      </c>
      <c r="F18" s="54" t="str">
        <f>'BioBlitz Surveys - Wetland'!N16</f>
        <v/>
      </c>
      <c r="G18" s="54">
        <f>'BioBlitz Surveys - Wetland'!S16</f>
        <v>0.05</v>
      </c>
      <c r="H18" s="54" t="str">
        <f>'BioBlitz Surveys - Wetland'!X16</f>
        <v/>
      </c>
      <c r="I18" s="54" t="str">
        <f>'BioBlitz Surveys - Wetland'!AC16</f>
        <v/>
      </c>
      <c r="J18" s="79">
        <f t="shared" si="0"/>
        <v>0.05</v>
      </c>
      <c r="M18" s="54" t="str">
        <f>'BioBlitz Surveys - Forest'!B16</f>
        <v xml:space="preserve">Impatiens capensis </v>
      </c>
      <c r="N18" s="54" t="str">
        <f>'BioBlitz Surveys - Forest'!C16</f>
        <v>Jewel weed</v>
      </c>
      <c r="O18" s="54" t="str">
        <f>'BioBlitz Surveys - Forest'!D16</f>
        <v>Grass or Sedge | Graminée</v>
      </c>
      <c r="P18" s="54" t="str">
        <f>'BioBlitz Surveys - Forest'!E16</f>
        <v>Pink</v>
      </c>
      <c r="Q18" s="54" t="str">
        <f>'BioBlitz Surveys - Forest'!I16</f>
        <v/>
      </c>
      <c r="R18" s="54">
        <f>'BioBlitz Surveys - Forest'!N16</f>
        <v>0.25</v>
      </c>
      <c r="S18" s="54" t="str">
        <f>'BioBlitz Surveys - Forest'!S16</f>
        <v/>
      </c>
      <c r="T18" s="54" t="str">
        <f>'BioBlitz Surveys - Forest'!X16</f>
        <v/>
      </c>
      <c r="U18" s="54" t="str">
        <f>'BioBlitz Surveys - Forest'!AC16</f>
        <v/>
      </c>
      <c r="V18" s="79">
        <f t="shared" si="1"/>
        <v>0.25</v>
      </c>
    </row>
    <row r="19" spans="1:22" x14ac:dyDescent="0.25">
      <c r="A19" s="54" t="str">
        <f>'BioBlitz Surveys - Wetland'!B17</f>
        <v>Chamaedaphne calyculata</v>
      </c>
      <c r="B19" s="54" t="str">
        <f>'BioBlitz Surveys - Wetland'!C17</f>
        <v>Leatherleaf</v>
      </c>
      <c r="C19" s="54" t="str">
        <f>'BioBlitz Surveys - Wetland'!D17</f>
        <v>Shrub | Arbuste</v>
      </c>
      <c r="D19" s="54" t="str">
        <f>'BioBlitz Surveys - Wetland'!E17</f>
        <v>Purple</v>
      </c>
      <c r="E19" s="54">
        <f>'BioBlitz Surveys - Wetland'!I17</f>
        <v>0.05</v>
      </c>
      <c r="F19" s="54">
        <f>'BioBlitz Surveys - Wetland'!N17</f>
        <v>0.25</v>
      </c>
      <c r="G19" s="54">
        <f>'BioBlitz Surveys - Wetland'!S17</f>
        <v>0.05</v>
      </c>
      <c r="H19" s="54">
        <f>'BioBlitz Surveys - Wetland'!X17</f>
        <v>0.25</v>
      </c>
      <c r="I19" s="54">
        <f>'BioBlitz Surveys - Wetland'!AC17</f>
        <v>0.05</v>
      </c>
      <c r="J19" s="79">
        <f t="shared" si="0"/>
        <v>0.13</v>
      </c>
      <c r="M19" s="54" t="str">
        <f>'BioBlitz Surveys - Forest'!B17</f>
        <v>Lythrum Salicaria</v>
      </c>
      <c r="N19" s="54" t="str">
        <f>'BioBlitz Surveys - Forest'!C17</f>
        <v>Purple Loosestrife</v>
      </c>
      <c r="O19" s="54" t="str">
        <f>'BioBlitz Surveys - Forest'!D17</f>
        <v>Grass or Sedge | Graminée</v>
      </c>
      <c r="P19" s="54" t="str">
        <f>'BioBlitz Surveys - Forest'!E17</f>
        <v>Pink</v>
      </c>
      <c r="Q19" s="54">
        <f>'BioBlitz Surveys - Forest'!I17</f>
        <v>0.05</v>
      </c>
      <c r="R19" s="54" t="str">
        <f>'BioBlitz Surveys - Forest'!N17</f>
        <v/>
      </c>
      <c r="S19" s="54" t="str">
        <f>'BioBlitz Surveys - Forest'!S17</f>
        <v/>
      </c>
      <c r="T19" s="54">
        <f>'BioBlitz Surveys - Forest'!X17</f>
        <v>0.25</v>
      </c>
      <c r="U19" s="54">
        <f>'BioBlitz Surveys - Forest'!AC17</f>
        <v>0.05</v>
      </c>
      <c r="V19" s="79">
        <f t="shared" si="1"/>
        <v>0.11666666666666665</v>
      </c>
    </row>
    <row r="20" spans="1:22" x14ac:dyDescent="0.25">
      <c r="A20" s="54" t="str">
        <f>'BioBlitz Surveys - Wetland'!B18</f>
        <v>Dulichium arundinaceum</v>
      </c>
      <c r="B20" s="54" t="str">
        <f>'BioBlitz Surveys - Wetland'!C18</f>
        <v>Three-way sedge</v>
      </c>
      <c r="C20" s="54" t="str">
        <f>'BioBlitz Surveys - Wetland'!D18</f>
        <v>Grass or Sedge | Graminée</v>
      </c>
      <c r="D20" s="54" t="str">
        <f>'BioBlitz Surveys - Wetland'!E18</f>
        <v>Purple</v>
      </c>
      <c r="E20" s="54" t="str">
        <f>'BioBlitz Surveys - Wetland'!I18</f>
        <v/>
      </c>
      <c r="F20" s="54" t="str">
        <f>'BioBlitz Surveys - Wetland'!N18</f>
        <v/>
      </c>
      <c r="G20" s="54">
        <f>'BioBlitz Surveys - Wetland'!S18</f>
        <v>0.05</v>
      </c>
      <c r="H20" s="54" t="str">
        <f>'BioBlitz Surveys - Wetland'!X18</f>
        <v/>
      </c>
      <c r="I20" s="54" t="str">
        <f>'BioBlitz Surveys - Wetland'!AC18</f>
        <v/>
      </c>
      <c r="J20" s="79">
        <f t="shared" si="0"/>
        <v>0.05</v>
      </c>
      <c r="M20" s="54" t="str">
        <f>'BioBlitz Surveys - Forest'!B18</f>
        <v>mecaphesa asperata</v>
      </c>
      <c r="N20" s="54" t="str">
        <f>'BioBlitz Surveys - Forest'!C18</f>
        <v>Northern Crab Spider</v>
      </c>
      <c r="O20" s="54" t="str">
        <f>'BioBlitz Surveys - Forest'!D18</f>
        <v>Insect | Insecte</v>
      </c>
      <c r="P20" s="54" t="str">
        <f>'BioBlitz Surveys - Forest'!E18</f>
        <v>Pink</v>
      </c>
      <c r="Q20" s="54" t="str">
        <f>'BioBlitz Surveys - Forest'!I18</f>
        <v/>
      </c>
      <c r="R20" s="54" t="str">
        <f>'BioBlitz Surveys - Forest'!N18</f>
        <v/>
      </c>
      <c r="S20" s="54" t="str">
        <f>'BioBlitz Surveys - Forest'!S18</f>
        <v/>
      </c>
      <c r="T20" s="54">
        <f>'BioBlitz Surveys - Forest'!X18</f>
        <v>0.05</v>
      </c>
      <c r="U20" s="54" t="str">
        <f>'BioBlitz Surveys - Forest'!AC18</f>
        <v/>
      </c>
      <c r="V20" s="79">
        <f t="shared" si="1"/>
        <v>0.05</v>
      </c>
    </row>
    <row r="21" spans="1:22" x14ac:dyDescent="0.25">
      <c r="A21" s="54" t="str">
        <f>'BioBlitz Surveys - Wetland'!B19</f>
        <v>Equisetum palustre</v>
      </c>
      <c r="B21" s="54" t="str">
        <f>'BioBlitz Surveys - Wetland'!C19</f>
        <v>Marsh horsetail</v>
      </c>
      <c r="C21" s="54" t="str">
        <f>'BioBlitz Surveys - Wetland'!D19</f>
        <v>Grass or Sedge | Graminée</v>
      </c>
      <c r="D21" s="54" t="str">
        <f>'BioBlitz Surveys - Wetland'!E19</f>
        <v>Purple</v>
      </c>
      <c r="E21" s="54" t="str">
        <f>'BioBlitz Surveys - Wetland'!I19</f>
        <v/>
      </c>
      <c r="F21" s="54">
        <f>'BioBlitz Surveys - Wetland'!N19</f>
        <v>0.05</v>
      </c>
      <c r="G21" s="54" t="str">
        <f>'BioBlitz Surveys - Wetland'!S19</f>
        <v/>
      </c>
      <c r="H21" s="54" t="str">
        <f>'BioBlitz Surveys - Wetland'!X19</f>
        <v/>
      </c>
      <c r="I21" s="54" t="str">
        <f>'BioBlitz Surveys - Wetland'!AC19</f>
        <v/>
      </c>
      <c r="J21" s="79">
        <f t="shared" si="0"/>
        <v>0.05</v>
      </c>
      <c r="M21" s="54" t="str">
        <f>'BioBlitz Surveys - Forest'!B19</f>
        <v>Onoclea sensibilis</v>
      </c>
      <c r="N21" s="54" t="str">
        <f>'BioBlitz Surveys - Forest'!C19</f>
        <v>Sensitive Fern</v>
      </c>
      <c r="O21" s="54" t="str">
        <f>'BioBlitz Surveys - Forest'!D19</f>
        <v>Fern | Fougère</v>
      </c>
      <c r="P21" s="54" t="str">
        <f>'BioBlitz Surveys - Forest'!E19</f>
        <v>Pink</v>
      </c>
      <c r="Q21" s="54">
        <f>'BioBlitz Surveys - Forest'!I19</f>
        <v>0.25</v>
      </c>
      <c r="R21" s="54">
        <f>'BioBlitz Surveys - Forest'!N19</f>
        <v>0.75</v>
      </c>
      <c r="S21" s="54" t="str">
        <f>'BioBlitz Surveys - Forest'!S19</f>
        <v/>
      </c>
      <c r="T21" s="54">
        <f>'BioBlitz Surveys - Forest'!X19</f>
        <v>0.25</v>
      </c>
      <c r="U21" s="54" t="str">
        <f>'BioBlitz Surveys - Forest'!AC19</f>
        <v/>
      </c>
      <c r="V21" s="79">
        <f t="shared" si="1"/>
        <v>0.41666666666666669</v>
      </c>
    </row>
    <row r="22" spans="1:22" x14ac:dyDescent="0.25">
      <c r="A22" s="54" t="str">
        <f>'BioBlitz Surveys - Wetland'!B20</f>
        <v>Lysimachia sp.</v>
      </c>
      <c r="B22" s="54" t="str">
        <f>'BioBlitz Surveys - Wetland'!C20</f>
        <v>Loosestrifes</v>
      </c>
      <c r="C22" s="54" t="str">
        <f>'BioBlitz Surveys - Wetland'!D20</f>
        <v>Grass or Sedge | Graminée</v>
      </c>
      <c r="D22" s="54" t="str">
        <f>'BioBlitz Surveys - Wetland'!E20</f>
        <v>Purple</v>
      </c>
      <c r="E22" s="54">
        <f>'BioBlitz Surveys - Wetland'!I20</f>
        <v>0.05</v>
      </c>
      <c r="F22" s="54" t="str">
        <f>'BioBlitz Surveys - Wetland'!N20</f>
        <v/>
      </c>
      <c r="G22" s="54" t="str">
        <f>'BioBlitz Surveys - Wetland'!S20</f>
        <v/>
      </c>
      <c r="H22" s="54" t="str">
        <f>'BioBlitz Surveys - Wetland'!X20</f>
        <v/>
      </c>
      <c r="I22" s="54" t="str">
        <f>'BioBlitz Surveys - Wetland'!AC20</f>
        <v/>
      </c>
      <c r="J22" s="79">
        <f t="shared" si="0"/>
        <v>0.05</v>
      </c>
      <c r="M22" s="54" t="str">
        <f>'BioBlitz Surveys - Forest'!B20</f>
        <v xml:space="preserve">Phalaris canariensis </v>
      </c>
      <c r="N22" s="54" t="str">
        <f>'BioBlitz Surveys - Forest'!C20</f>
        <v>seed canary grass</v>
      </c>
      <c r="O22" s="54" t="str">
        <f>'BioBlitz Surveys - Forest'!D20</f>
        <v>Grass or Sedge | Graminée</v>
      </c>
      <c r="P22" s="54" t="str">
        <f>'BioBlitz Surveys - Forest'!E20</f>
        <v>Pink</v>
      </c>
      <c r="Q22" s="54" t="str">
        <f>'BioBlitz Surveys - Forest'!I20</f>
        <v/>
      </c>
      <c r="R22" s="54" t="str">
        <f>'BioBlitz Surveys - Forest'!N20</f>
        <v/>
      </c>
      <c r="S22" s="54">
        <f>'BioBlitz Surveys - Forest'!S20</f>
        <v>0.75</v>
      </c>
      <c r="T22" s="54">
        <f>'BioBlitz Surveys - Forest'!X20</f>
        <v>0.5</v>
      </c>
      <c r="U22" s="54" t="str">
        <f>'BioBlitz Surveys - Forest'!AC20</f>
        <v/>
      </c>
      <c r="V22" s="79">
        <f t="shared" si="1"/>
        <v>0.625</v>
      </c>
    </row>
    <row r="23" spans="1:22" x14ac:dyDescent="0.25">
      <c r="A23" s="54" t="str">
        <f>'BioBlitz Surveys - Wetland'!B21</f>
        <v>Sphagnum sp.</v>
      </c>
      <c r="B23" s="54" t="str">
        <f>'BioBlitz Surveys - Wetland'!C21</f>
        <v>Sphagnum moss</v>
      </c>
      <c r="C23" s="54" t="str">
        <f>'BioBlitz Surveys - Wetland'!D21</f>
        <v>Moss | Mousse</v>
      </c>
      <c r="D23" s="54" t="str">
        <f>'BioBlitz Surveys - Wetland'!E21</f>
        <v>Purple</v>
      </c>
      <c r="E23" s="54">
        <f>'BioBlitz Surveys - Wetland'!I21</f>
        <v>1</v>
      </c>
      <c r="F23" s="54">
        <f>'BioBlitz Surveys - Wetland'!N21</f>
        <v>1</v>
      </c>
      <c r="G23" s="54">
        <f>'BioBlitz Surveys - Wetland'!S21</f>
        <v>0.75</v>
      </c>
      <c r="H23" s="54">
        <f>'BioBlitz Surveys - Wetland'!X21</f>
        <v>1</v>
      </c>
      <c r="I23" s="54">
        <f>'BioBlitz Surveys - Wetland'!AC21</f>
        <v>1</v>
      </c>
      <c r="J23" s="79">
        <f t="shared" si="0"/>
        <v>0.95</v>
      </c>
      <c r="M23" s="54" t="str">
        <f>'BioBlitz Surveys - Forest'!B21</f>
        <v>poales</v>
      </c>
      <c r="N23" s="54" t="str">
        <f>'BioBlitz Surveys - Forest'!C21</f>
        <v>Grass 1</v>
      </c>
      <c r="O23" s="54" t="str">
        <f>'BioBlitz Surveys - Forest'!D21</f>
        <v>Grass or Sedge | Graminée</v>
      </c>
      <c r="P23" s="54" t="str">
        <f>'BioBlitz Surveys - Forest'!E21</f>
        <v>Pink</v>
      </c>
      <c r="Q23" s="54">
        <f>'BioBlitz Surveys - Forest'!I21</f>
        <v>0.5</v>
      </c>
      <c r="R23" s="54" t="str">
        <f>'BioBlitz Surveys - Forest'!N21</f>
        <v/>
      </c>
      <c r="S23" s="54" t="str">
        <f>'BioBlitz Surveys - Forest'!S21</f>
        <v/>
      </c>
      <c r="T23" s="54" t="str">
        <f>'BioBlitz Surveys - Forest'!X21</f>
        <v/>
      </c>
      <c r="U23" s="54">
        <f>'BioBlitz Surveys - Forest'!AC21</f>
        <v>0.5</v>
      </c>
      <c r="V23" s="79">
        <f t="shared" si="1"/>
        <v>0.5</v>
      </c>
    </row>
    <row r="24" spans="1:22" x14ac:dyDescent="0.25">
      <c r="A24" s="54" t="str">
        <f>'BioBlitz Surveys - Wetland'!B22</f>
        <v>Spiraea sp.</v>
      </c>
      <c r="B24" s="54" t="str">
        <f>'BioBlitz Surveys - Wetland'!C22</f>
        <v>Meadowsweets</v>
      </c>
      <c r="C24" s="54" t="str">
        <f>'BioBlitz Surveys - Wetland'!D22</f>
        <v>Shrub | Arbuste</v>
      </c>
      <c r="D24" s="54" t="str">
        <f>'BioBlitz Surveys - Wetland'!E22</f>
        <v>Purple</v>
      </c>
      <c r="E24" s="54">
        <f>'BioBlitz Surveys - Wetland'!I22</f>
        <v>0.05</v>
      </c>
      <c r="F24" s="54">
        <f>'BioBlitz Surveys - Wetland'!N22</f>
        <v>0.05</v>
      </c>
      <c r="G24" s="54" t="str">
        <f>'BioBlitz Surveys - Wetland'!S22</f>
        <v/>
      </c>
      <c r="H24" s="54">
        <f>'BioBlitz Surveys - Wetland'!X22</f>
        <v>0.05</v>
      </c>
      <c r="I24" s="54">
        <f>'BioBlitz Surveys - Wetland'!AC22</f>
        <v>0.05</v>
      </c>
      <c r="J24" s="79">
        <f t="shared" si="0"/>
        <v>0.05</v>
      </c>
      <c r="M24" s="54" t="str">
        <f>'BioBlitz Surveys - Forest'!B22</f>
        <v>Prunus serotina</v>
      </c>
      <c r="N24" s="54" t="str">
        <f>'BioBlitz Surveys - Forest'!C22</f>
        <v>black cherry</v>
      </c>
      <c r="O24" s="54" t="str">
        <f>'BioBlitz Surveys - Forest'!D22</f>
        <v>Deciduous tree | Arbre décidu</v>
      </c>
      <c r="P24" s="54" t="str">
        <f>'BioBlitz Surveys - Forest'!E22</f>
        <v>Pink</v>
      </c>
      <c r="Q24" s="54" t="str">
        <f>'BioBlitz Surveys - Forest'!I22</f>
        <v/>
      </c>
      <c r="R24" s="54" t="str">
        <f>'BioBlitz Surveys - Forest'!N22</f>
        <v/>
      </c>
      <c r="S24" s="54">
        <f>'BioBlitz Surveys - Forest'!S22</f>
        <v>0.75</v>
      </c>
      <c r="T24" s="54" t="str">
        <f>'BioBlitz Surveys - Forest'!X22</f>
        <v/>
      </c>
      <c r="U24" s="54" t="str">
        <f>'BioBlitz Surveys - Forest'!AC22</f>
        <v/>
      </c>
      <c r="V24" s="79"/>
    </row>
    <row r="25" spans="1:22" x14ac:dyDescent="0.25">
      <c r="A25" s="54" t="str">
        <f>'BioBlitz Surveys - Wetland'!B23</f>
        <v>Subfamily Cyperoideae</v>
      </c>
      <c r="B25" s="54" t="str">
        <f>'BioBlitz Surveys - Wetland'!C23</f>
        <v>Grass/sedge</v>
      </c>
      <c r="C25" s="54" t="str">
        <f>'BioBlitz Surveys - Wetland'!D23</f>
        <v>Grass or Sedge | Graminée</v>
      </c>
      <c r="D25" s="54" t="str">
        <f>'BioBlitz Surveys - Wetland'!E23</f>
        <v>Purple</v>
      </c>
      <c r="E25" s="54" t="str">
        <f>'BioBlitz Surveys - Wetland'!I23</f>
        <v/>
      </c>
      <c r="F25" s="54">
        <f>'BioBlitz Surveys - Wetland'!N23</f>
        <v>0.05</v>
      </c>
      <c r="G25" s="54">
        <f>'BioBlitz Surveys - Wetland'!S23</f>
        <v>0.05</v>
      </c>
      <c r="H25" s="54">
        <f>'BioBlitz Surveys - Wetland'!X23</f>
        <v>0.25</v>
      </c>
      <c r="I25" s="54" t="str">
        <f>'BioBlitz Surveys - Wetland'!AC23</f>
        <v/>
      </c>
      <c r="J25" s="79">
        <f t="shared" si="0"/>
        <v>0.11666666666666665</v>
      </c>
      <c r="M25" s="54" t="str">
        <f>'BioBlitz Surveys - Forest'!B23</f>
        <v>Prunus virginiana</v>
      </c>
      <c r="N25" s="54" t="str">
        <f>'BioBlitz Surveys - Forest'!C23</f>
        <v>choke cherry</v>
      </c>
      <c r="O25" s="54" t="str">
        <f>'BioBlitz Surveys - Forest'!D23</f>
        <v>Deciduous tree | Arbre décidu</v>
      </c>
      <c r="P25" s="54" t="str">
        <f>'BioBlitz Surveys - Forest'!E23</f>
        <v>Pink</v>
      </c>
      <c r="Q25" s="54">
        <f>'BioBlitz Surveys - Forest'!I23</f>
        <v>0.05</v>
      </c>
      <c r="R25" s="54" t="str">
        <f>'BioBlitz Surveys - Forest'!N23</f>
        <v/>
      </c>
      <c r="S25" s="54" t="str">
        <f>'BioBlitz Surveys - Forest'!S23</f>
        <v/>
      </c>
      <c r="T25" s="54" t="str">
        <f>'BioBlitz Surveys - Forest'!X23</f>
        <v/>
      </c>
      <c r="U25" s="54" t="str">
        <f>'BioBlitz Surveys - Forest'!AC23</f>
        <v/>
      </c>
      <c r="V25" s="79">
        <f t="shared" si="1"/>
        <v>0.05</v>
      </c>
    </row>
    <row r="26" spans="1:22" x14ac:dyDescent="0.25">
      <c r="A26" s="54" t="str">
        <f>'BioBlitz Surveys - Wetland'!B24</f>
        <v>Typha sp.</v>
      </c>
      <c r="B26" s="54" t="str">
        <f>'BioBlitz Surveys - Wetland'!C24</f>
        <v>Cattails</v>
      </c>
      <c r="C26" s="54" t="str">
        <f>'BioBlitz Surveys - Wetland'!D24</f>
        <v>Aquatic plant | Plante aquatique</v>
      </c>
      <c r="D26" s="54" t="str">
        <f>'BioBlitz Surveys - Wetland'!E24</f>
        <v>Purple</v>
      </c>
      <c r="E26" s="54">
        <f>'BioBlitz Surveys - Wetland'!I24</f>
        <v>0.05</v>
      </c>
      <c r="F26" s="54">
        <f>'BioBlitz Surveys - Wetland'!N24</f>
        <v>0.05</v>
      </c>
      <c r="G26" s="54">
        <f>'BioBlitz Surveys - Wetland'!S24</f>
        <v>0.05</v>
      </c>
      <c r="H26" s="54">
        <f>'BioBlitz Surveys - Wetland'!X24</f>
        <v>0.05</v>
      </c>
      <c r="I26" s="54">
        <f>'BioBlitz Surveys - Wetland'!AC24</f>
        <v>0.05</v>
      </c>
      <c r="J26" s="79">
        <f t="shared" si="0"/>
        <v>0.05</v>
      </c>
      <c r="M26" s="54" t="str">
        <f>'BioBlitz Surveys - Forest'!B24</f>
        <v>Solidago</v>
      </c>
      <c r="N26" s="54" t="str">
        <f>'BioBlitz Surveys - Forest'!C24</f>
        <v>Golden Rod</v>
      </c>
      <c r="O26" s="54" t="str">
        <f>'BioBlitz Surveys - Forest'!D24</f>
        <v>Grass or Sedge | Graminée</v>
      </c>
      <c r="P26" s="54" t="str">
        <f>'BioBlitz Surveys - Forest'!E24</f>
        <v>Pink</v>
      </c>
      <c r="Q26" s="54" t="str">
        <f>'BioBlitz Surveys - Forest'!I24</f>
        <v/>
      </c>
      <c r="R26" s="54" t="str">
        <f>'BioBlitz Surveys - Forest'!N24</f>
        <v/>
      </c>
      <c r="S26" s="54" t="str">
        <f>'BioBlitz Surveys - Forest'!S24</f>
        <v/>
      </c>
      <c r="T26" s="54" t="str">
        <f>'BioBlitz Surveys - Forest'!X24</f>
        <v/>
      </c>
      <c r="U26" s="54">
        <f>'BioBlitz Surveys - Forest'!AC24</f>
        <v>0.25</v>
      </c>
      <c r="V26" s="79">
        <f t="shared" si="1"/>
        <v>0.25</v>
      </c>
    </row>
    <row r="27" spans="1:22" x14ac:dyDescent="0.25">
      <c r="A27" s="54" t="str">
        <f>'BioBlitz Surveys - Wetland'!B25</f>
        <v>Chamaedaphne calyculata</v>
      </c>
      <c r="B27" s="54" t="str">
        <f>'BioBlitz Surveys - Wetland'!C25</f>
        <v>Leatherleaf</v>
      </c>
      <c r="C27" s="54" t="str">
        <f>'BioBlitz Surveys - Wetland'!D25</f>
        <v>Evergreen tree | Arbre sempervirent</v>
      </c>
      <c r="D27" s="54" t="str">
        <f>'BioBlitz Surveys - Wetland'!E25</f>
        <v>Yellow</v>
      </c>
      <c r="E27" s="54">
        <f>'BioBlitz Surveys - Wetland'!I25</f>
        <v>1</v>
      </c>
      <c r="F27" s="54">
        <f>'BioBlitz Surveys - Wetland'!N25</f>
        <v>0.75</v>
      </c>
      <c r="G27" s="54">
        <f>'BioBlitz Surveys - Wetland'!S25</f>
        <v>0.75</v>
      </c>
      <c r="H27" s="54" t="str">
        <f>'BioBlitz Surveys - Wetland'!X25</f>
        <v/>
      </c>
      <c r="I27" s="54">
        <f>'BioBlitz Surveys - Wetland'!AC25</f>
        <v>0.5</v>
      </c>
      <c r="J27" s="79">
        <f t="shared" si="0"/>
        <v>0.75</v>
      </c>
      <c r="M27" s="54" t="str">
        <f>'BioBlitz Surveys - Forest'!B25</f>
        <v>Tamias</v>
      </c>
      <c r="N27" s="54" t="str">
        <f>'BioBlitz Surveys - Forest'!C25</f>
        <v>Chipmunks</v>
      </c>
      <c r="O27" s="54" t="str">
        <f>'BioBlitz Surveys - Forest'!D25</f>
        <v>Insect | Insecte</v>
      </c>
      <c r="P27" s="54" t="str">
        <f>'BioBlitz Surveys - Forest'!E25</f>
        <v>Pink</v>
      </c>
      <c r="Q27" s="54" t="str">
        <f>'BioBlitz Surveys - Forest'!I25</f>
        <v/>
      </c>
      <c r="R27" s="54" t="str">
        <f>'BioBlitz Surveys - Forest'!N25</f>
        <v/>
      </c>
      <c r="S27" s="54" t="str">
        <f>'BioBlitz Surveys - Forest'!S25</f>
        <v/>
      </c>
      <c r="T27" s="54" t="str">
        <f>'BioBlitz Surveys - Forest'!X25</f>
        <v/>
      </c>
      <c r="U27" s="54" t="str">
        <f>'BioBlitz Surveys - Forest'!AC25</f>
        <v/>
      </c>
      <c r="V27" s="79" t="e">
        <f t="shared" si="1"/>
        <v>#DIV/0!</v>
      </c>
    </row>
    <row r="28" spans="1:22" x14ac:dyDescent="0.25">
      <c r="A28" s="54" t="str">
        <f>'BioBlitz Surveys - Wetland'!B26</f>
        <v>Larix laricina</v>
      </c>
      <c r="B28" s="54" t="str">
        <f>'BioBlitz Surveys - Wetland'!C26</f>
        <v>Larch</v>
      </c>
      <c r="C28" s="54" t="str">
        <f>'BioBlitz Surveys - Wetland'!D26</f>
        <v>Deciduous tree | Arbre décidu</v>
      </c>
      <c r="D28" s="54" t="str">
        <f>'BioBlitz Surveys - Wetland'!E26</f>
        <v>Yellow</v>
      </c>
      <c r="E28" s="54">
        <f>'BioBlitz Surveys - Wetland'!I26</f>
        <v>0.05</v>
      </c>
      <c r="F28" s="54" t="str">
        <f>'BioBlitz Surveys - Wetland'!N26</f>
        <v/>
      </c>
      <c r="G28" s="54" t="str">
        <f>'BioBlitz Surveys - Wetland'!S26</f>
        <v/>
      </c>
      <c r="H28" s="54">
        <f>'BioBlitz Surveys - Wetland'!X26</f>
        <v>0.05</v>
      </c>
      <c r="I28" s="54">
        <f>'BioBlitz Surveys - Wetland'!AC26</f>
        <v>0.05</v>
      </c>
      <c r="J28" s="79">
        <f t="shared" si="0"/>
        <v>5.000000000000001E-2</v>
      </c>
      <c r="M28" s="54" t="str">
        <f>'BioBlitz Surveys - Forest'!B26</f>
        <v>Acer rubrum</v>
      </c>
      <c r="N28" s="54" t="str">
        <f>'BioBlitz Surveys - Forest'!C26</f>
        <v>Red Maple</v>
      </c>
      <c r="O28" s="54" t="str">
        <f>'BioBlitz Surveys - Forest'!D26</f>
        <v>Deciduous tree | Arbre décidu</v>
      </c>
      <c r="P28" s="54" t="str">
        <f>'BioBlitz Surveys - Forest'!E26</f>
        <v>Purple</v>
      </c>
      <c r="Q28" s="54">
        <f>'BioBlitz Surveys - Forest'!I26</f>
        <v>1</v>
      </c>
      <c r="R28" s="54">
        <f>'BioBlitz Surveys - Forest'!N26</f>
        <v>0.05</v>
      </c>
      <c r="S28" s="54">
        <f>'BioBlitz Surveys - Forest'!S26</f>
        <v>0.75</v>
      </c>
      <c r="T28" s="54">
        <f>'BioBlitz Surveys - Forest'!X26</f>
        <v>1</v>
      </c>
      <c r="U28" s="54">
        <f>'BioBlitz Surveys - Forest'!AC26</f>
        <v>1</v>
      </c>
      <c r="V28" s="79">
        <f t="shared" si="1"/>
        <v>0.76</v>
      </c>
    </row>
    <row r="29" spans="1:22" x14ac:dyDescent="0.25">
      <c r="A29" s="54" t="str">
        <f>'BioBlitz Surveys - Wetland'!B27</f>
        <v>Aronia melanocarpa</v>
      </c>
      <c r="B29" s="54" t="str">
        <f>'BioBlitz Surveys - Wetland'!C27</f>
        <v>Black chockeberry</v>
      </c>
      <c r="C29" s="54" t="str">
        <f>'BioBlitz Surveys - Wetland'!D27</f>
        <v>Shrub | Arbuste</v>
      </c>
      <c r="D29" s="54" t="str">
        <f>'BioBlitz Surveys - Wetland'!E27</f>
        <v xml:space="preserve">Yellow </v>
      </c>
      <c r="E29" s="54" t="str">
        <f>'BioBlitz Surveys - Wetland'!I27</f>
        <v/>
      </c>
      <c r="F29" s="54" t="str">
        <f>'BioBlitz Surveys - Wetland'!N27</f>
        <v/>
      </c>
      <c r="G29" s="54" t="str">
        <f>'BioBlitz Surveys - Wetland'!S27</f>
        <v/>
      </c>
      <c r="H29" s="54">
        <f>'BioBlitz Surveys - Wetland'!X27</f>
        <v>0.01</v>
      </c>
      <c r="I29" s="54">
        <f>'BioBlitz Surveys - Wetland'!AC27</f>
        <v>0.05</v>
      </c>
      <c r="J29" s="79">
        <f t="shared" si="0"/>
        <v>3.0000000000000002E-2</v>
      </c>
      <c r="M29" s="54" t="str">
        <f>'BioBlitz Surveys - Forest'!B27</f>
        <v>Acer sp.</v>
      </c>
      <c r="N29" s="54" t="str">
        <f>'BioBlitz Surveys - Forest'!C27</f>
        <v>Maple</v>
      </c>
      <c r="O29" s="54" t="str">
        <f>'BioBlitz Surveys - Forest'!D27</f>
        <v>Deciduous tree | Arbre décidu</v>
      </c>
      <c r="P29" s="54" t="str">
        <f>'BioBlitz Surveys - Forest'!E27</f>
        <v>Purple</v>
      </c>
      <c r="Q29" s="54" t="str">
        <f>'BioBlitz Surveys - Forest'!I27</f>
        <v/>
      </c>
      <c r="R29" s="54">
        <f>'BioBlitz Surveys - Forest'!N27</f>
        <v>0.05</v>
      </c>
      <c r="S29" s="54">
        <f>'BioBlitz Surveys - Forest'!S27</f>
        <v>0.05</v>
      </c>
      <c r="T29" s="54" t="str">
        <f>'BioBlitz Surveys - Forest'!X27</f>
        <v/>
      </c>
      <c r="U29" s="54" t="str">
        <f>'BioBlitz Surveys - Forest'!AC27</f>
        <v/>
      </c>
      <c r="V29" s="79">
        <f t="shared" si="1"/>
        <v>0.05</v>
      </c>
    </row>
    <row r="30" spans="1:22" x14ac:dyDescent="0.25">
      <c r="A30" s="54" t="str">
        <f>'BioBlitz Surveys - Wetland'!B28</f>
        <v>Eriophorum angostifolium</v>
      </c>
      <c r="B30" s="54" t="str">
        <f>'BioBlitz Surveys - Wetland'!C28</f>
        <v>Cotton Grass</v>
      </c>
      <c r="C30" s="54" t="str">
        <f>'BioBlitz Surveys - Wetland'!D28</f>
        <v>Grass or Sedge | Graminée</v>
      </c>
      <c r="D30" s="54" t="str">
        <f>'BioBlitz Surveys - Wetland'!E28</f>
        <v xml:space="preserve">Yellow </v>
      </c>
      <c r="E30" s="54" t="str">
        <f>'BioBlitz Surveys - Wetland'!I28</f>
        <v/>
      </c>
      <c r="F30" s="54" t="str">
        <f>'BioBlitz Surveys - Wetland'!N28</f>
        <v/>
      </c>
      <c r="G30" s="54">
        <f>'BioBlitz Surveys - Wetland'!S28</f>
        <v>0.05</v>
      </c>
      <c r="H30" s="54">
        <f>'BioBlitz Surveys - Wetland'!X28</f>
        <v>1</v>
      </c>
      <c r="I30" s="54">
        <f>'BioBlitz Surveys - Wetland'!AC28</f>
        <v>0.05</v>
      </c>
      <c r="J30" s="79">
        <f t="shared" si="0"/>
        <v>0.3666666666666667</v>
      </c>
      <c r="M30" s="54" t="str">
        <f>'BioBlitz Surveys - Forest'!B28</f>
        <v>Cornus alternifolia</v>
      </c>
      <c r="N30" s="54" t="str">
        <f>'BioBlitz Surveys - Forest'!C28</f>
        <v>Alternate-leaved Dogwood</v>
      </c>
      <c r="O30" s="54" t="str">
        <f>'BioBlitz Surveys - Forest'!D28</f>
        <v>Shrub | Arbuste</v>
      </c>
      <c r="P30" s="54" t="str">
        <f>'BioBlitz Surveys - Forest'!E28</f>
        <v>Purple</v>
      </c>
      <c r="Q30" s="54" t="str">
        <f>'BioBlitz Surveys - Forest'!I28</f>
        <v/>
      </c>
      <c r="R30" s="54" t="str">
        <f>'BioBlitz Surveys - Forest'!N28</f>
        <v/>
      </c>
      <c r="S30" s="54">
        <f>'BioBlitz Surveys - Forest'!S28</f>
        <v>0.05</v>
      </c>
      <c r="T30" s="54" t="str">
        <f>'BioBlitz Surveys - Forest'!X28</f>
        <v/>
      </c>
      <c r="U30" s="54" t="str">
        <f>'BioBlitz Surveys - Forest'!AC28</f>
        <v/>
      </c>
      <c r="V30" s="79">
        <f t="shared" si="1"/>
        <v>0.05</v>
      </c>
    </row>
    <row r="31" spans="1:22" x14ac:dyDescent="0.25">
      <c r="A31" s="54" t="str">
        <f>'BioBlitz Surveys - Wetland'!B29</f>
        <v>Rhododendron neoglandulosum</v>
      </c>
      <c r="B31" s="54" t="str">
        <f>'BioBlitz Surveys - Wetland'!C29</f>
        <v>Labrador Tea</v>
      </c>
      <c r="C31" s="54" t="str">
        <f>'BioBlitz Surveys - Wetland'!D29</f>
        <v>Shrub | Arbuste</v>
      </c>
      <c r="D31" s="54" t="str">
        <f>'BioBlitz Surveys - Wetland'!E29</f>
        <v xml:space="preserve">Yellow </v>
      </c>
      <c r="E31" s="54">
        <f>'BioBlitz Surveys - Wetland'!I29</f>
        <v>0.75</v>
      </c>
      <c r="F31" s="54">
        <f>'BioBlitz Surveys - Wetland'!N29</f>
        <v>0.5</v>
      </c>
      <c r="G31" s="54">
        <f>'BioBlitz Surveys - Wetland'!S29</f>
        <v>0.75</v>
      </c>
      <c r="H31" s="54">
        <f>'BioBlitz Surveys - Wetland'!X29</f>
        <v>0.75</v>
      </c>
      <c r="I31" s="54">
        <f>'BioBlitz Surveys - Wetland'!AC29</f>
        <v>0.5</v>
      </c>
      <c r="J31" s="79">
        <f t="shared" si="0"/>
        <v>0.65</v>
      </c>
      <c r="M31" s="54" t="str">
        <f>'BioBlitz Surveys - Forest'!B29</f>
        <v>Doellingeria umbellata</v>
      </c>
      <c r="N31" s="54" t="str">
        <f>'BioBlitz Surveys - Forest'!C29</f>
        <v>Flat-top White Aster</v>
      </c>
      <c r="O31" s="54" t="str">
        <f>'BioBlitz Surveys - Forest'!D29</f>
        <v>Grass or Sedge | Graminée</v>
      </c>
      <c r="P31" s="54" t="str">
        <f>'BioBlitz Surveys - Forest'!E29</f>
        <v>Purple</v>
      </c>
      <c r="Q31" s="54" t="str">
        <f>'BioBlitz Surveys - Forest'!I29</f>
        <v/>
      </c>
      <c r="R31" s="54" t="str">
        <f>'BioBlitz Surveys - Forest'!N29</f>
        <v/>
      </c>
      <c r="S31" s="54" t="str">
        <f>'BioBlitz Surveys - Forest'!S29</f>
        <v/>
      </c>
      <c r="T31" s="54">
        <f>'BioBlitz Surveys - Forest'!X29</f>
        <v>0.05</v>
      </c>
      <c r="U31" s="54" t="str">
        <f>'BioBlitz Surveys - Forest'!AC29</f>
        <v/>
      </c>
      <c r="V31" s="79">
        <f t="shared" si="1"/>
        <v>0.05</v>
      </c>
    </row>
    <row r="32" spans="1:22" x14ac:dyDescent="0.25">
      <c r="A32" s="54" t="str">
        <f>'BioBlitz Surveys - Wetland'!B30</f>
        <v>Sphagnum</v>
      </c>
      <c r="B32" s="54" t="str">
        <f>'BioBlitz Surveys - Wetland'!C30</f>
        <v>Common peat moss</v>
      </c>
      <c r="C32" s="54" t="str">
        <f>'BioBlitz Surveys - Wetland'!D30</f>
        <v>Moss | Mousse</v>
      </c>
      <c r="D32" s="54" t="str">
        <f>'BioBlitz Surveys - Wetland'!E30</f>
        <v xml:space="preserve">Yellow </v>
      </c>
      <c r="E32" s="54">
        <f>'BioBlitz Surveys - Wetland'!I30</f>
        <v>1</v>
      </c>
      <c r="F32" s="54">
        <f>'BioBlitz Surveys - Wetland'!N30</f>
        <v>1</v>
      </c>
      <c r="G32" s="54">
        <f>'BioBlitz Surveys - Wetland'!S30</f>
        <v>1</v>
      </c>
      <c r="H32" s="54">
        <f>'BioBlitz Surveys - Wetland'!X30</f>
        <v>1</v>
      </c>
      <c r="I32" s="54">
        <f>'BioBlitz Surveys - Wetland'!AC30</f>
        <v>1</v>
      </c>
      <c r="J32" s="79">
        <f t="shared" si="0"/>
        <v>1</v>
      </c>
      <c r="M32" s="54" t="str">
        <f>'BioBlitz Surveys - Forest'!B30</f>
        <v>Frangula sp.</v>
      </c>
      <c r="N32" s="54" t="str">
        <f>'BioBlitz Surveys - Forest'!C30</f>
        <v>False-Buckthorns</v>
      </c>
      <c r="O32" s="54" t="str">
        <f>'BioBlitz Surveys - Forest'!D30</f>
        <v>Deciduous tree | Arbre décidu</v>
      </c>
      <c r="P32" s="54" t="str">
        <f>'BioBlitz Surveys - Forest'!E30</f>
        <v>Purple</v>
      </c>
      <c r="Q32" s="54">
        <f>'BioBlitz Surveys - Forest'!I30</f>
        <v>0.25</v>
      </c>
      <c r="R32" s="54">
        <f>'BioBlitz Surveys - Forest'!N30</f>
        <v>0.25</v>
      </c>
      <c r="S32" s="54" t="str">
        <f>'BioBlitz Surveys - Forest'!S30</f>
        <v/>
      </c>
      <c r="T32" s="54">
        <f>'BioBlitz Surveys - Forest'!X30</f>
        <v>0.75</v>
      </c>
      <c r="U32" s="54">
        <f>'BioBlitz Surveys - Forest'!AC30</f>
        <v>0.25</v>
      </c>
      <c r="V32" s="79">
        <f t="shared" si="1"/>
        <v>0.375</v>
      </c>
    </row>
    <row r="33" spans="1:22" x14ac:dyDescent="0.25">
      <c r="A33" s="54" t="str">
        <f>'BioBlitz Surveys - Wetland'!B31</f>
        <v>Vaccinium Cyanococcus</v>
      </c>
      <c r="B33" s="54" t="str">
        <f>'BioBlitz Surveys - Wetland'!C31</f>
        <v>Blueberry</v>
      </c>
      <c r="C33" s="54" t="str">
        <f>'BioBlitz Surveys - Wetland'!D31</f>
        <v>Shrub | Arbuste</v>
      </c>
      <c r="D33" s="54" t="str">
        <f>'BioBlitz Surveys - Wetland'!E31</f>
        <v xml:space="preserve">Yellow </v>
      </c>
      <c r="E33" s="54">
        <f>'BioBlitz Surveys - Wetland'!I31</f>
        <v>0.75</v>
      </c>
      <c r="F33" s="54">
        <f>'BioBlitz Surveys - Wetland'!N31</f>
        <v>0.5</v>
      </c>
      <c r="G33" s="54">
        <f>'BioBlitz Surveys - Wetland'!S31</f>
        <v>0.75</v>
      </c>
      <c r="H33" s="54" t="str">
        <f>'BioBlitz Surveys - Wetland'!X31</f>
        <v/>
      </c>
      <c r="I33" s="54" t="str">
        <f>'BioBlitz Surveys - Wetland'!AC31</f>
        <v/>
      </c>
      <c r="J33" s="79">
        <f t="shared" si="0"/>
        <v>0.66666666666666663</v>
      </c>
      <c r="M33" s="54" t="str">
        <f>'BioBlitz Surveys - Forest'!B31</f>
        <v>Prunus serotina</v>
      </c>
      <c r="N33" s="54" t="str">
        <f>'BioBlitz Surveys - Forest'!C31</f>
        <v>Black Cherry</v>
      </c>
      <c r="O33" s="54" t="str">
        <f>'BioBlitz Surveys - Forest'!D31</f>
        <v>Deciduous tree | Arbre décidu</v>
      </c>
      <c r="P33" s="54" t="str">
        <f>'BioBlitz Surveys - Forest'!E31</f>
        <v>Purple</v>
      </c>
      <c r="Q33" s="54" t="str">
        <f>'BioBlitz Surveys - Forest'!I31</f>
        <v/>
      </c>
      <c r="R33" s="54" t="str">
        <f>'BioBlitz Surveys - Forest'!N31</f>
        <v/>
      </c>
      <c r="S33" s="54">
        <f>'BioBlitz Surveys - Forest'!S31</f>
        <v>0.05</v>
      </c>
      <c r="T33" s="54" t="str">
        <f>'BioBlitz Surveys - Forest'!X31</f>
        <v/>
      </c>
      <c r="U33" s="54" t="str">
        <f>'BioBlitz Surveys - Forest'!AC31</f>
        <v/>
      </c>
      <c r="V33" s="79">
        <f t="shared" si="1"/>
        <v>0.05</v>
      </c>
    </row>
    <row r="34" spans="1:22" x14ac:dyDescent="0.25">
      <c r="M34" s="54" t="str">
        <f>'BioBlitz Surveys - Forest'!B32</f>
        <v>Prunus sp.</v>
      </c>
      <c r="N34" s="54" t="str">
        <f>'BioBlitz Surveys - Forest'!C32</f>
        <v>Plums, Cherries, and Allies</v>
      </c>
      <c r="O34" s="54" t="str">
        <f>'BioBlitz Surveys - Forest'!D32</f>
        <v>Shrub | Arbuste</v>
      </c>
      <c r="P34" s="54" t="str">
        <f>'BioBlitz Surveys - Forest'!E32</f>
        <v>Purple</v>
      </c>
      <c r="Q34" s="54" t="str">
        <f>'BioBlitz Surveys - Forest'!I32</f>
        <v/>
      </c>
      <c r="R34" s="54" t="str">
        <f>'BioBlitz Surveys - Forest'!N32</f>
        <v/>
      </c>
      <c r="S34" s="54">
        <f>'BioBlitz Surveys - Forest'!S32</f>
        <v>0.05</v>
      </c>
      <c r="T34" s="54" t="str">
        <f>'BioBlitz Surveys - Forest'!X32</f>
        <v/>
      </c>
      <c r="U34" s="54" t="str">
        <f>'BioBlitz Surveys - Forest'!AC32</f>
        <v/>
      </c>
      <c r="V34" s="79">
        <f t="shared" si="1"/>
        <v>0.05</v>
      </c>
    </row>
    <row r="35" spans="1:22" x14ac:dyDescent="0.25">
      <c r="M35" s="54" t="str">
        <f>'BioBlitz Surveys - Forest'!B33</f>
        <v>Spiraea sp.</v>
      </c>
      <c r="N35" s="54" t="str">
        <f>'BioBlitz Surveys - Forest'!C33</f>
        <v>Meadowsweets</v>
      </c>
      <c r="O35" s="54" t="str">
        <f>'BioBlitz Surveys - Forest'!D33</f>
        <v>Deciduous tree | Arbre décidu</v>
      </c>
      <c r="P35" s="54" t="str">
        <f>'BioBlitz Surveys - Forest'!E33</f>
        <v>Purple</v>
      </c>
      <c r="Q35" s="54" t="str">
        <f>'BioBlitz Surveys - Forest'!I33</f>
        <v/>
      </c>
      <c r="R35" s="54">
        <f>'BioBlitz Surveys - Forest'!N33</f>
        <v>0.5</v>
      </c>
      <c r="S35" s="54" t="str">
        <f>'BioBlitz Surveys - Forest'!S33</f>
        <v/>
      </c>
      <c r="T35" s="54" t="str">
        <f>'BioBlitz Surveys - Forest'!X33</f>
        <v/>
      </c>
      <c r="U35" s="54" t="str">
        <f>'BioBlitz Surveys - Forest'!AC33</f>
        <v/>
      </c>
      <c r="V35" s="79">
        <f t="shared" si="1"/>
        <v>0.5</v>
      </c>
    </row>
    <row r="36" spans="1:22" x14ac:dyDescent="0.25">
      <c r="M36" s="54" t="str">
        <f>'BioBlitz Surveys - Forest'!B34</f>
        <v>Tilia sp.</v>
      </c>
      <c r="N36" s="54" t="str">
        <f>'BioBlitz Surveys - Forest'!C34</f>
        <v>Lindens, Basswoods, and Lime Trees</v>
      </c>
      <c r="O36" s="54" t="str">
        <f>'BioBlitz Surveys - Forest'!D34</f>
        <v>Deciduous tree | Arbre décidu</v>
      </c>
      <c r="P36" s="54" t="str">
        <f>'BioBlitz Surveys - Forest'!E34</f>
        <v>Purple</v>
      </c>
      <c r="Q36" s="54" t="str">
        <f>'BioBlitz Surveys - Forest'!I34</f>
        <v/>
      </c>
      <c r="R36" s="54">
        <f>'BioBlitz Surveys - Forest'!N34</f>
        <v>0.05</v>
      </c>
      <c r="S36" s="54" t="str">
        <f>'BioBlitz Surveys - Forest'!S34</f>
        <v/>
      </c>
      <c r="T36" s="54" t="str">
        <f>'BioBlitz Surveys - Forest'!X34</f>
        <v/>
      </c>
      <c r="U36" s="54" t="str">
        <f>'BioBlitz Surveys - Forest'!AC34</f>
        <v/>
      </c>
      <c r="V36" s="79">
        <f t="shared" si="1"/>
        <v>0.05</v>
      </c>
    </row>
    <row r="37" spans="1:22" x14ac:dyDescent="0.25">
      <c r="M37" s="54" t="str">
        <f>'BioBlitz Surveys - Forest'!B35</f>
        <v>Ageratina aromatica</v>
      </c>
      <c r="N37" s="54" t="str">
        <f>'BioBlitz Surveys - Forest'!C35</f>
        <v>White snakeroot</v>
      </c>
      <c r="O37" s="54" t="str">
        <f>'BioBlitz Surveys - Forest'!D35</f>
        <v>Grass or Sedge | Graminée</v>
      </c>
      <c r="P37" s="54" t="str">
        <f>'BioBlitz Surveys - Forest'!E35</f>
        <v>Yellow</v>
      </c>
      <c r="Q37" s="54" t="str">
        <f>'BioBlitz Surveys - Forest'!I35</f>
        <v/>
      </c>
      <c r="R37" s="54" t="str">
        <f>'BioBlitz Surveys - Forest'!N35</f>
        <v/>
      </c>
      <c r="S37" s="54" t="str">
        <f>'BioBlitz Surveys - Forest'!S35</f>
        <v/>
      </c>
      <c r="T37" s="54">
        <f>'BioBlitz Surveys - Forest'!X35</f>
        <v>0.25</v>
      </c>
      <c r="U37" s="54" t="str">
        <f>'BioBlitz Surveys - Forest'!AC35</f>
        <v/>
      </c>
      <c r="V37" s="79">
        <f t="shared" si="1"/>
        <v>0.25</v>
      </c>
    </row>
    <row r="38" spans="1:22" x14ac:dyDescent="0.25">
      <c r="M38" s="54" t="str">
        <f>'BioBlitz Surveys - Forest'!B36</f>
        <v>Alnus incana</v>
      </c>
      <c r="N38" s="54" t="str">
        <f>'BioBlitz Surveys - Forest'!C36</f>
        <v>Gray alder</v>
      </c>
      <c r="O38" s="54" t="str">
        <f>'BioBlitz Surveys - Forest'!D36</f>
        <v>Deciduous tree | Arbre décidu</v>
      </c>
      <c r="P38" s="54" t="str">
        <f>'BioBlitz Surveys - Forest'!E36</f>
        <v>Yellow</v>
      </c>
      <c r="Q38" s="54" t="str">
        <f>'BioBlitz Surveys - Forest'!I36</f>
        <v/>
      </c>
      <c r="R38" s="54">
        <f>'BioBlitz Surveys - Forest'!N36</f>
        <v>0.25</v>
      </c>
      <c r="S38" s="54" t="str">
        <f>'BioBlitz Surveys - Forest'!S36</f>
        <v/>
      </c>
      <c r="T38" s="54" t="str">
        <f>'BioBlitz Surveys - Forest'!X36</f>
        <v/>
      </c>
      <c r="U38" s="54" t="str">
        <f>'BioBlitz Surveys - Forest'!AC36</f>
        <v/>
      </c>
      <c r="V38" s="79">
        <f t="shared" si="1"/>
        <v>0.25</v>
      </c>
    </row>
    <row r="39" spans="1:22" x14ac:dyDescent="0.25">
      <c r="M39" s="54" t="str">
        <f>'BioBlitz Surveys - Forest'!B37</f>
        <v>Frangula alnus</v>
      </c>
      <c r="N39" s="54" t="str">
        <f>'BioBlitz Surveys - Forest'!C37</f>
        <v>False Buckthorn</v>
      </c>
      <c r="O39" s="54" t="str">
        <f>'BioBlitz Surveys - Forest'!D37</f>
        <v>Deciduous tree | Arbre décidu</v>
      </c>
      <c r="P39" s="54" t="str">
        <f>'BioBlitz Surveys - Forest'!E37</f>
        <v>Yellow</v>
      </c>
      <c r="Q39" s="54">
        <f>'BioBlitz Surveys - Forest'!I37</f>
        <v>1</v>
      </c>
      <c r="R39" s="54">
        <f>'BioBlitz Surveys - Forest'!N37</f>
        <v>0.5</v>
      </c>
      <c r="S39" s="54">
        <f>'BioBlitz Surveys - Forest'!S37</f>
        <v>0.5</v>
      </c>
      <c r="T39" s="54" t="str">
        <f>'BioBlitz Surveys - Forest'!X37</f>
        <v/>
      </c>
      <c r="U39" s="54">
        <f>'BioBlitz Surveys - Forest'!AC37</f>
        <v>0.75</v>
      </c>
      <c r="V39" s="79">
        <f t="shared" si="1"/>
        <v>0.6875</v>
      </c>
    </row>
    <row r="40" spans="1:22" x14ac:dyDescent="0.25">
      <c r="M40" s="54" t="str">
        <f>'BioBlitz Surveys - Forest'!B38</f>
        <v>Hygroamblystegium varium</v>
      </c>
      <c r="N40" s="54" t="str">
        <f>'BioBlitz Surveys - Forest'!C38</f>
        <v>Tangled thread moss</v>
      </c>
      <c r="O40" s="54" t="str">
        <f>'BioBlitz Surveys - Forest'!D38</f>
        <v>Moss | Mousse</v>
      </c>
      <c r="P40" s="54" t="str">
        <f>'BioBlitz Surveys - Forest'!E38</f>
        <v>Yellow</v>
      </c>
      <c r="Q40" s="54" t="str">
        <f>'BioBlitz Surveys - Forest'!I38</f>
        <v/>
      </c>
      <c r="R40" s="54" t="str">
        <f>'BioBlitz Surveys - Forest'!N38</f>
        <v/>
      </c>
      <c r="S40" s="54" t="str">
        <f>'BioBlitz Surveys - Forest'!S38</f>
        <v/>
      </c>
      <c r="T40" s="54" t="str">
        <f>'BioBlitz Surveys - Forest'!X38</f>
        <v/>
      </c>
      <c r="U40" s="54">
        <f>'BioBlitz Surveys - Forest'!AC38</f>
        <v>0.05</v>
      </c>
      <c r="V40" s="79">
        <f t="shared" si="1"/>
        <v>0.05</v>
      </c>
    </row>
    <row r="41" spans="1:22" x14ac:dyDescent="0.25">
      <c r="M41" s="54" t="str">
        <f>'BioBlitz Surveys - Forest'!B39</f>
        <v>Maianthemum racemosum</v>
      </c>
      <c r="N41" s="54" t="str">
        <f>'BioBlitz Surveys - Forest'!C39</f>
        <v>Soloman's plume</v>
      </c>
      <c r="O41" s="54" t="str">
        <f>'BioBlitz Surveys - Forest'!D39</f>
        <v>Grass or Sedge | Graminée</v>
      </c>
      <c r="P41" s="54" t="str">
        <f>'BioBlitz Surveys - Forest'!E39</f>
        <v>Yellow</v>
      </c>
      <c r="Q41" s="54" t="str">
        <f>'BioBlitz Surveys - Forest'!I39</f>
        <v/>
      </c>
      <c r="R41" s="54">
        <f>'BioBlitz Surveys - Forest'!N39</f>
        <v>0.25</v>
      </c>
      <c r="S41" s="54" t="str">
        <f>'BioBlitz Surveys - Forest'!S39</f>
        <v/>
      </c>
      <c r="T41" s="54">
        <f>'BioBlitz Surveys - Forest'!X39</f>
        <v>0.01</v>
      </c>
      <c r="U41" s="54" t="str">
        <f>'BioBlitz Surveys - Forest'!AC39</f>
        <v/>
      </c>
      <c r="V41" s="79">
        <f t="shared" si="1"/>
        <v>0.13</v>
      </c>
    </row>
    <row r="42" spans="1:22" x14ac:dyDescent="0.25">
      <c r="M42" s="54" t="str">
        <f>'BioBlitz Surveys - Forest'!B40</f>
        <v>Onoclea sensibilis</v>
      </c>
      <c r="N42" s="54" t="str">
        <f>'BioBlitz Surveys - Forest'!C40</f>
        <v>Sensitive fern</v>
      </c>
      <c r="O42" s="54" t="str">
        <f>'BioBlitz Surveys - Forest'!D40</f>
        <v>Fern | Fougère</v>
      </c>
      <c r="P42" s="54" t="str">
        <f>'BioBlitz Surveys - Forest'!E40</f>
        <v>Yellow</v>
      </c>
      <c r="Q42" s="54" t="str">
        <f>'BioBlitz Surveys - Forest'!I40</f>
        <v/>
      </c>
      <c r="R42" s="54" t="str">
        <f>'BioBlitz Surveys - Forest'!N40</f>
        <v/>
      </c>
      <c r="S42" s="54">
        <f>'BioBlitz Surveys - Forest'!S40</f>
        <v>0.05</v>
      </c>
      <c r="T42" s="54" t="str">
        <f>'BioBlitz Surveys - Forest'!X40</f>
        <v/>
      </c>
      <c r="U42" s="54">
        <f>'BioBlitz Surveys - Forest'!AC40</f>
        <v>0.05</v>
      </c>
      <c r="V42" s="79">
        <f t="shared" si="1"/>
        <v>0.05</v>
      </c>
    </row>
    <row r="43" spans="1:22" x14ac:dyDescent="0.25">
      <c r="M43" s="54" t="str">
        <f>'BioBlitz Surveys - Forest'!B41</f>
        <v>Potentilla</v>
      </c>
      <c r="N43" s="54" t="str">
        <f>'BioBlitz Surveys - Forest'!C41</f>
        <v>Cinquefoils</v>
      </c>
      <c r="O43" s="54" t="str">
        <f>'BioBlitz Surveys - Forest'!D41</f>
        <v>Shrub | Arbuste</v>
      </c>
      <c r="P43" s="54" t="str">
        <f>'BioBlitz Surveys - Forest'!E41</f>
        <v>Yellow</v>
      </c>
      <c r="Q43" s="54" t="str">
        <f>'BioBlitz Surveys - Forest'!I41</f>
        <v/>
      </c>
      <c r="R43" s="54">
        <f>'BioBlitz Surveys - Forest'!N41</f>
        <v>0.5</v>
      </c>
      <c r="S43" s="54">
        <f>'BioBlitz Surveys - Forest'!S41</f>
        <v>0.75</v>
      </c>
      <c r="T43" s="54">
        <f>'BioBlitz Surveys - Forest'!X41</f>
        <v>0.05</v>
      </c>
      <c r="U43" s="54">
        <f>'BioBlitz Surveys - Forest'!AC41</f>
        <v>0.05</v>
      </c>
      <c r="V43" s="79">
        <f t="shared" si="1"/>
        <v>0.33750000000000002</v>
      </c>
    </row>
    <row r="44" spans="1:22" x14ac:dyDescent="0.25">
      <c r="M44" s="54" t="str">
        <f>'BioBlitz Surveys - Forest'!B42</f>
        <v>Rubus occidentalis</v>
      </c>
      <c r="N44" s="54" t="str">
        <f>'BioBlitz Surveys - Forest'!C42</f>
        <v>Black raspberry</v>
      </c>
      <c r="O44" s="54" t="str">
        <f>'BioBlitz Surveys - Forest'!D42</f>
        <v>Shrub | Arbuste</v>
      </c>
      <c r="P44" s="54" t="str">
        <f>'BioBlitz Surveys - Forest'!E42</f>
        <v>Yellow</v>
      </c>
      <c r="Q44" s="54" t="str">
        <f>'BioBlitz Surveys - Forest'!I42</f>
        <v/>
      </c>
      <c r="R44" s="54" t="str">
        <f>'BioBlitz Surveys - Forest'!N42</f>
        <v/>
      </c>
      <c r="S44" s="54" t="str">
        <f>'BioBlitz Surveys - Forest'!S42</f>
        <v/>
      </c>
      <c r="T44" s="54" t="str">
        <f>'BioBlitz Surveys - Forest'!X42</f>
        <v/>
      </c>
      <c r="U44" s="54">
        <f>'BioBlitz Surveys - Forest'!AC42</f>
        <v>0.05</v>
      </c>
      <c r="V44" s="79">
        <f t="shared" si="1"/>
        <v>0.05</v>
      </c>
    </row>
    <row r="45" spans="1:22" x14ac:dyDescent="0.25">
      <c r="M45" s="54" t="str">
        <f>'BioBlitz Surveys - Forest'!B43</f>
        <v>Solidago</v>
      </c>
      <c r="N45" s="54" t="str">
        <f>'BioBlitz Surveys - Forest'!C43</f>
        <v>Goldenrod</v>
      </c>
      <c r="O45" s="54" t="str">
        <f>'BioBlitz Surveys - Forest'!D43</f>
        <v>Grass or Sedge | Graminée</v>
      </c>
      <c r="P45" s="54" t="str">
        <f>'BioBlitz Surveys - Forest'!E43</f>
        <v>Yellow</v>
      </c>
      <c r="Q45" s="54">
        <f>'BioBlitz Surveys - Forest'!I43</f>
        <v>0.5</v>
      </c>
      <c r="R45" s="54" t="str">
        <f>'BioBlitz Surveys - Forest'!N43</f>
        <v/>
      </c>
      <c r="S45" s="54" t="str">
        <f>'BioBlitz Surveys - Forest'!S43</f>
        <v/>
      </c>
      <c r="T45" s="54" t="str">
        <f>'BioBlitz Surveys - Forest'!X43</f>
        <v/>
      </c>
      <c r="U45" s="54" t="str">
        <f>'BioBlitz Surveys - Forest'!AC43</f>
        <v/>
      </c>
      <c r="V45" s="79"/>
    </row>
    <row r="46" spans="1:22" x14ac:dyDescent="0.25">
      <c r="M46" s="54" t="str">
        <f>'BioBlitz Surveys - Forest'!B44</f>
        <v>Symphyotritum ericoides</v>
      </c>
      <c r="N46" s="54" t="str">
        <f>'BioBlitz Surveys - Forest'!C44</f>
        <v>White aster</v>
      </c>
      <c r="O46" s="54" t="str">
        <f>'BioBlitz Surveys - Forest'!D44</f>
        <v>Grass or Sedge | Graminée</v>
      </c>
      <c r="P46" s="54" t="str">
        <f>'BioBlitz Surveys - Forest'!E44</f>
        <v>Yellow</v>
      </c>
      <c r="Q46" s="54" t="str">
        <f>'BioBlitz Surveys - Forest'!I44</f>
        <v/>
      </c>
      <c r="R46" s="54" t="str">
        <f>'BioBlitz Surveys - Forest'!N44</f>
        <v/>
      </c>
      <c r="S46" s="54">
        <f>'BioBlitz Surveys - Forest'!S44</f>
        <v>0.05</v>
      </c>
      <c r="T46" s="54">
        <f>'BioBlitz Surveys - Forest'!X44</f>
        <v>0.5</v>
      </c>
      <c r="U46" s="54" t="str">
        <f>'BioBlitz Surveys - Forest'!AC44</f>
        <v/>
      </c>
      <c r="V46" s="79">
        <f t="shared" si="1"/>
        <v>0.27500000000000002</v>
      </c>
    </row>
    <row r="47" spans="1:22" x14ac:dyDescent="0.25">
      <c r="M47" s="54" t="str">
        <f>'BioBlitz Surveys - Forest'!B45</f>
        <v>Tiarella cordifolia</v>
      </c>
      <c r="N47" s="54" t="str">
        <f>'BioBlitz Surveys - Forest'!C45</f>
        <v>Foam flower</v>
      </c>
      <c r="O47" s="54" t="str">
        <f>'BioBlitz Surveys - Forest'!D45</f>
        <v>Grass or Sedge | Graminée</v>
      </c>
      <c r="P47" s="54" t="str">
        <f>'BioBlitz Surveys - Forest'!E45</f>
        <v>Yellow</v>
      </c>
      <c r="Q47" s="54">
        <f>'BioBlitz Surveys - Forest'!I45</f>
        <v>1</v>
      </c>
      <c r="R47" s="54" t="str">
        <f>'BioBlitz Surveys - Forest'!N45</f>
        <v/>
      </c>
      <c r="S47" s="54" t="str">
        <f>'BioBlitz Surveys - Forest'!S45</f>
        <v/>
      </c>
      <c r="T47" s="54" t="str">
        <f>'BioBlitz Surveys - Forest'!X45</f>
        <v/>
      </c>
      <c r="U47" s="54" t="str">
        <f>'BioBlitz Surveys - Forest'!AC45</f>
        <v/>
      </c>
      <c r="V47" s="79">
        <f t="shared" si="1"/>
        <v>1</v>
      </c>
    </row>
  </sheetData>
  <mergeCells count="2">
    <mergeCell ref="E4:J4"/>
    <mergeCell ref="Q4:V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40D39-6CF2-1B4D-8407-63A284B97241}">
  <dimension ref="A1:E15"/>
  <sheetViews>
    <sheetView zoomScale="150" zoomScaleNormal="150" workbookViewId="0">
      <selection activeCell="D5" sqref="D5:D7"/>
    </sheetView>
  </sheetViews>
  <sheetFormatPr baseColWidth="10" defaultColWidth="11.5" defaultRowHeight="16" x14ac:dyDescent="0.2"/>
  <cols>
    <col min="1" max="1" width="21" customWidth="1"/>
    <col min="2" max="3" width="16.5" customWidth="1"/>
    <col min="4" max="4" width="14.6640625" customWidth="1"/>
    <col min="5" max="5" width="13.5" customWidth="1"/>
  </cols>
  <sheetData>
    <row r="1" spans="1:5" ht="27" x14ac:dyDescent="0.35">
      <c r="A1" s="66"/>
    </row>
    <row r="4" spans="1:5" ht="19" x14ac:dyDescent="0.25">
      <c r="A4" s="53" t="s">
        <v>164</v>
      </c>
      <c r="B4" s="53" t="s">
        <v>159</v>
      </c>
      <c r="C4" s="53" t="s">
        <v>308</v>
      </c>
      <c r="D4" s="53" t="s">
        <v>165</v>
      </c>
      <c r="E4" s="53" t="s">
        <v>166</v>
      </c>
    </row>
    <row r="5" spans="1:5" ht="19" x14ac:dyDescent="0.25">
      <c r="A5" s="54" t="s">
        <v>167</v>
      </c>
      <c r="B5" s="54" t="s">
        <v>168</v>
      </c>
      <c r="C5" s="81" t="s">
        <v>35</v>
      </c>
      <c r="D5" s="54">
        <f>'Physicochemical Data - Wetland'!B5</f>
        <v>45.393000000000001</v>
      </c>
      <c r="E5" s="54">
        <f>'Physicochemical Data - Wetland'!B6</f>
        <v>-75.509</v>
      </c>
    </row>
    <row r="6" spans="1:5" ht="19" x14ac:dyDescent="0.25">
      <c r="A6" s="54" t="s">
        <v>167</v>
      </c>
      <c r="B6" s="54" t="s">
        <v>169</v>
      </c>
      <c r="C6" s="81" t="s">
        <v>129</v>
      </c>
      <c r="D6" s="54">
        <f>'Physicochemical Data - Wetland'!B16</f>
        <v>45.392000000000003</v>
      </c>
      <c r="E6" s="54">
        <f>'Physicochemical Data - Wetland'!B17</f>
        <v>-75.510000000000005</v>
      </c>
    </row>
    <row r="7" spans="1:5" ht="19" x14ac:dyDescent="0.25">
      <c r="A7" s="54" t="s">
        <v>167</v>
      </c>
      <c r="B7" s="54" t="s">
        <v>170</v>
      </c>
      <c r="C7" s="81" t="s">
        <v>30</v>
      </c>
      <c r="D7" s="54">
        <f>'Physicochemical Data - Wetland'!B28</f>
        <v>45.392000000000003</v>
      </c>
      <c r="E7" s="54">
        <f>'Physicochemical Data - Wetland'!B29</f>
        <v>-75.509</v>
      </c>
    </row>
    <row r="8" spans="1:5" ht="19" x14ac:dyDescent="0.25">
      <c r="A8" s="54" t="s">
        <v>171</v>
      </c>
      <c r="B8" s="54" t="s">
        <v>129</v>
      </c>
      <c r="C8" s="54"/>
      <c r="D8" s="80"/>
      <c r="E8" s="80"/>
    </row>
    <row r="9" spans="1:5" ht="19" x14ac:dyDescent="0.25">
      <c r="A9" s="54" t="s">
        <v>171</v>
      </c>
      <c r="B9" s="54" t="s">
        <v>35</v>
      </c>
      <c r="C9" s="54"/>
      <c r="D9" s="80"/>
      <c r="E9" s="80"/>
    </row>
    <row r="10" spans="1:5" ht="19" x14ac:dyDescent="0.25">
      <c r="A10" s="54" t="s">
        <v>171</v>
      </c>
      <c r="B10" s="54" t="s">
        <v>30</v>
      </c>
      <c r="C10" s="54"/>
      <c r="D10" s="80"/>
      <c r="E10" s="80"/>
    </row>
    <row r="11" spans="1:5" ht="19" x14ac:dyDescent="0.25">
      <c r="A11" s="54" t="s">
        <v>172</v>
      </c>
      <c r="B11" s="54" t="s">
        <v>129</v>
      </c>
      <c r="C11" s="54"/>
      <c r="D11" s="80"/>
      <c r="E11" s="80"/>
    </row>
    <row r="12" spans="1:5" ht="19" x14ac:dyDescent="0.25">
      <c r="A12" s="54" t="s">
        <v>172</v>
      </c>
      <c r="B12" s="54" t="s">
        <v>35</v>
      </c>
      <c r="C12" s="54"/>
      <c r="D12" s="80"/>
      <c r="E12" s="80"/>
    </row>
    <row r="13" spans="1:5" ht="19" x14ac:dyDescent="0.25">
      <c r="A13" s="54" t="s">
        <v>172</v>
      </c>
      <c r="B13" s="54" t="s">
        <v>30</v>
      </c>
      <c r="C13" s="54"/>
      <c r="D13" s="80"/>
      <c r="E13" s="80"/>
    </row>
    <row r="14" spans="1:5" ht="19" x14ac:dyDescent="0.25">
      <c r="A14" s="54"/>
      <c r="B14" s="54"/>
      <c r="C14" s="54"/>
      <c r="D14" s="54"/>
      <c r="E14" s="54"/>
    </row>
    <row r="15" spans="1:5" ht="19" x14ac:dyDescent="0.25">
      <c r="A15" s="54"/>
      <c r="B15" s="54"/>
      <c r="C15" s="54"/>
      <c r="D15" s="54"/>
      <c r="E15" s="5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BioBlitz Surveys - Wetland</vt:lpstr>
      <vt:lpstr>BioBlitz Surveys - Forest</vt:lpstr>
      <vt:lpstr>Physicochemical Data - Wetland</vt:lpstr>
      <vt:lpstr>Physicochemical Data - Forest</vt:lpstr>
      <vt:lpstr>Taxa</vt:lpstr>
      <vt:lpstr>Proportions</vt:lpstr>
      <vt:lpstr>Site coordinates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Kyra St-Pierre</dc:creator>
  <cp:keywords/>
  <dc:description/>
  <cp:lastModifiedBy>Kyra St-Pierre</cp:lastModifiedBy>
  <cp:revision/>
  <dcterms:created xsi:type="dcterms:W3CDTF">2024-08-23T21:46:24Z</dcterms:created>
  <dcterms:modified xsi:type="dcterms:W3CDTF">2025-08-23T21:35:22Z</dcterms:modified>
  <cp:category/>
  <cp:contentStatus/>
</cp:coreProperties>
</file>